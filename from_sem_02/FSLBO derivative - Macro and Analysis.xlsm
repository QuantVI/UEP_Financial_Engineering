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worksheets/sheet3.xml" ContentType="application/vnd.openxmlformats-officedocument.spreadsheetml.worksheet+xml"/>
  <Override PartName="/xl/chartsheets/sheet8.xml" ContentType="application/vnd.openxmlformats-officedocument.spreadsheetml.chartsheet+xml"/>
  <Override PartName="/xl/worksheets/sheet4.xml" ContentType="application/vnd.openxmlformats-officedocument.spreadsheetml.worksheet+xml"/>
  <Override PartName="/xl/chartsheets/sheet9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02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vit/Google Drive/Quant School/04. Poznan/PUEB-Attending/courses/sem2/07 Derivatives Pricing/for project/completed/"/>
    </mc:Choice>
  </mc:AlternateContent>
  <bookViews>
    <workbookView xWindow="3180" yWindow="460" windowWidth="24580" windowHeight="15320"/>
  </bookViews>
  <sheets>
    <sheet name="Usage" sheetId="3" r:id="rId1"/>
    <sheet name="Call Sensitivity" sheetId="6" r:id="rId2"/>
    <sheet name="C. S to RF" sheetId="7" r:id="rId3"/>
    <sheet name="C. S to Div" sheetId="8" r:id="rId4"/>
    <sheet name="C. S to Vol" sheetId="9" r:id="rId5"/>
    <sheet name="C. S to TTM" sheetId="10" r:id="rId6"/>
    <sheet name="C. S to S0" sheetId="11" r:id="rId7"/>
    <sheet name="C. S to X" sheetId="12" r:id="rId8"/>
    <sheet name="C. S to M" sheetId="14" r:id="rId9"/>
    <sheet name="Put Sensitivity(consider Rfr)" sheetId="15" r:id="rId10"/>
    <sheet name="P. S to Rf" sheetId="18" r:id="rId11"/>
    <sheet name="Put Sensitivity (consider div)" sheetId="16" r:id="rId12"/>
    <sheet name="P. S to Div" sheetId="19" r:id="rId13"/>
    <sheet name="Call Formula" sheetId="1" r:id="rId14"/>
    <sheet name="Put Formula" sheetId="2" r:id="rId15"/>
    <sheet name="variable combinations" sheetId="5" r:id="rId16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0" i="1" l="1"/>
  <c r="S17" i="1"/>
  <c r="S18" i="1" s="1"/>
  <c r="S16" i="1"/>
  <c r="S14" i="1"/>
  <c r="S24" i="1" s="1"/>
  <c r="S13" i="2"/>
  <c r="D17" i="16"/>
  <c r="D21" i="16"/>
  <c r="D25" i="16"/>
  <c r="D29" i="16"/>
  <c r="D33" i="16"/>
  <c r="D37" i="16"/>
  <c r="D41" i="16"/>
  <c r="D45" i="16"/>
  <c r="D49" i="16"/>
  <c r="D53" i="16"/>
  <c r="D57" i="16"/>
  <c r="D61" i="16"/>
  <c r="D65" i="16"/>
  <c r="D69" i="16"/>
  <c r="D73" i="16"/>
  <c r="D77" i="16"/>
  <c r="D81" i="16"/>
  <c r="D85" i="16"/>
  <c r="D89" i="16"/>
  <c r="D93" i="16"/>
  <c r="D97" i="16"/>
  <c r="D101" i="16"/>
  <c r="D105" i="16"/>
  <c r="D109" i="16"/>
  <c r="D78" i="16"/>
  <c r="D86" i="16"/>
  <c r="D94" i="16"/>
  <c r="D102" i="16"/>
  <c r="D110" i="16"/>
  <c r="D23" i="16"/>
  <c r="D31" i="16"/>
  <c r="D39" i="16"/>
  <c r="D47" i="16"/>
  <c r="D55" i="16"/>
  <c r="D63" i="16"/>
  <c r="D71" i="16"/>
  <c r="D79" i="16"/>
  <c r="D87" i="16"/>
  <c r="D95" i="16"/>
  <c r="D103" i="16"/>
  <c r="D111" i="16"/>
  <c r="D24" i="16"/>
  <c r="D32" i="16"/>
  <c r="D40" i="16"/>
  <c r="D48" i="16"/>
  <c r="D56" i="16"/>
  <c r="D64" i="16"/>
  <c r="D76" i="16"/>
  <c r="D84" i="16"/>
  <c r="D92" i="16"/>
  <c r="D100" i="16"/>
  <c r="D108" i="16"/>
  <c r="D18" i="16"/>
  <c r="D22" i="16"/>
  <c r="D26" i="16"/>
  <c r="D30" i="16"/>
  <c r="D34" i="16"/>
  <c r="D38" i="16"/>
  <c r="D42" i="16"/>
  <c r="D46" i="16"/>
  <c r="D50" i="16"/>
  <c r="D54" i="16"/>
  <c r="D58" i="16"/>
  <c r="D62" i="16"/>
  <c r="D66" i="16"/>
  <c r="D70" i="16"/>
  <c r="D74" i="16"/>
  <c r="D82" i="16"/>
  <c r="D90" i="16"/>
  <c r="D98" i="16"/>
  <c r="D106" i="16"/>
  <c r="D19" i="16"/>
  <c r="D27" i="16"/>
  <c r="D35" i="16"/>
  <c r="D43" i="16"/>
  <c r="D51" i="16"/>
  <c r="D59" i="16"/>
  <c r="D67" i="16"/>
  <c r="D75" i="16"/>
  <c r="D83" i="16"/>
  <c r="D91" i="16"/>
  <c r="D99" i="16"/>
  <c r="D107" i="16"/>
  <c r="D20" i="16"/>
  <c r="D28" i="16"/>
  <c r="D36" i="16"/>
  <c r="D44" i="16"/>
  <c r="D52" i="16"/>
  <c r="D60" i="16"/>
  <c r="D68" i="16"/>
  <c r="D80" i="16"/>
  <c r="D88" i="16"/>
  <c r="D96" i="16"/>
  <c r="D104" i="16"/>
  <c r="D112" i="16"/>
  <c r="D72" i="16"/>
  <c r="D16" i="16"/>
  <c r="C17" i="16"/>
  <c r="C21" i="16"/>
  <c r="C25" i="16"/>
  <c r="C29" i="16"/>
  <c r="C33" i="16"/>
  <c r="C37" i="16"/>
  <c r="C41" i="16"/>
  <c r="C45" i="16"/>
  <c r="C49" i="16"/>
  <c r="C53" i="16"/>
  <c r="C57" i="16"/>
  <c r="C61" i="16"/>
  <c r="C65" i="16"/>
  <c r="C69" i="16"/>
  <c r="C73" i="16"/>
  <c r="C77" i="16"/>
  <c r="C81" i="16"/>
  <c r="C85" i="16"/>
  <c r="C89" i="16"/>
  <c r="C93" i="16"/>
  <c r="C97" i="16"/>
  <c r="C101" i="16"/>
  <c r="C105" i="16"/>
  <c r="C109" i="16"/>
  <c r="C86" i="16"/>
  <c r="C94" i="16"/>
  <c r="C102" i="16"/>
  <c r="C110" i="16"/>
  <c r="C87" i="16"/>
  <c r="C99" i="16"/>
  <c r="C111" i="16"/>
  <c r="C28" i="16"/>
  <c r="C36" i="16"/>
  <c r="C44" i="16"/>
  <c r="C56" i="16"/>
  <c r="C64" i="16"/>
  <c r="C68" i="16"/>
  <c r="C76" i="16"/>
  <c r="C84" i="16"/>
  <c r="C92" i="16"/>
  <c r="C104" i="16"/>
  <c r="C112" i="16"/>
  <c r="C18" i="16"/>
  <c r="C22" i="16"/>
  <c r="C26" i="16"/>
  <c r="C30" i="16"/>
  <c r="C34" i="16"/>
  <c r="C38" i="16"/>
  <c r="C42" i="16"/>
  <c r="C46" i="16"/>
  <c r="C50" i="16"/>
  <c r="C54" i="16"/>
  <c r="C58" i="16"/>
  <c r="C62" i="16"/>
  <c r="C66" i="16"/>
  <c r="C70" i="16"/>
  <c r="C74" i="16"/>
  <c r="C78" i="16"/>
  <c r="C82" i="16"/>
  <c r="C90" i="16"/>
  <c r="C98" i="16"/>
  <c r="C106" i="16"/>
  <c r="C79" i="16"/>
  <c r="C91" i="16"/>
  <c r="C103" i="16"/>
  <c r="C20" i="16"/>
  <c r="C19" i="16"/>
  <c r="C23" i="16"/>
  <c r="C27" i="16"/>
  <c r="C31" i="16"/>
  <c r="C35" i="16"/>
  <c r="C39" i="16"/>
  <c r="C43" i="16"/>
  <c r="C47" i="16"/>
  <c r="C51" i="16"/>
  <c r="C55" i="16"/>
  <c r="C59" i="16"/>
  <c r="C63" i="16"/>
  <c r="C67" i="16"/>
  <c r="C71" i="16"/>
  <c r="C75" i="16"/>
  <c r="C83" i="16"/>
  <c r="C95" i="16"/>
  <c r="C107" i="16"/>
  <c r="C24" i="16"/>
  <c r="C40" i="16"/>
  <c r="C48" i="16"/>
  <c r="C52" i="16"/>
  <c r="C60" i="16"/>
  <c r="C72" i="16"/>
  <c r="C80" i="16"/>
  <c r="C88" i="16"/>
  <c r="C96" i="16"/>
  <c r="C108" i="16"/>
  <c r="C100" i="16"/>
  <c r="C16" i="16"/>
  <c r="D18" i="15"/>
  <c r="D114" i="15"/>
  <c r="D112" i="15"/>
  <c r="D110" i="15"/>
  <c r="D108" i="15"/>
  <c r="D106" i="15"/>
  <c r="D104" i="15"/>
  <c r="D102" i="15"/>
  <c r="D100" i="15"/>
  <c r="D98" i="15"/>
  <c r="D96" i="15"/>
  <c r="D94" i="15"/>
  <c r="D92" i="15"/>
  <c r="D90" i="15"/>
  <c r="D88" i="15"/>
  <c r="D86" i="15"/>
  <c r="D84" i="15"/>
  <c r="D82" i="15"/>
  <c r="D80" i="15"/>
  <c r="D78" i="15"/>
  <c r="D76" i="15"/>
  <c r="D74" i="15"/>
  <c r="D72" i="15"/>
  <c r="D70" i="15"/>
  <c r="D68" i="15"/>
  <c r="D66" i="15"/>
  <c r="D64" i="15"/>
  <c r="D62" i="15"/>
  <c r="D60" i="15"/>
  <c r="D58" i="15"/>
  <c r="D56" i="15"/>
  <c r="D54" i="15"/>
  <c r="D52" i="15"/>
  <c r="D50" i="15"/>
  <c r="D48" i="15"/>
  <c r="D46" i="15"/>
  <c r="D44" i="15"/>
  <c r="D42" i="15"/>
  <c r="D40" i="15"/>
  <c r="D38" i="15"/>
  <c r="D36" i="15"/>
  <c r="D34" i="15"/>
  <c r="D32" i="15"/>
  <c r="D30" i="15"/>
  <c r="D28" i="15"/>
  <c r="D26" i="15"/>
  <c r="D24" i="15"/>
  <c r="D22" i="15"/>
  <c r="D20" i="15"/>
  <c r="F12" i="15"/>
  <c r="C43" i="15"/>
  <c r="C33" i="15"/>
  <c r="C25" i="15"/>
  <c r="D13" i="15"/>
  <c r="C114" i="15"/>
  <c r="C112" i="15"/>
  <c r="C110" i="15"/>
  <c r="C108" i="15"/>
  <c r="C106" i="15"/>
  <c r="C104" i="15"/>
  <c r="C102" i="15"/>
  <c r="C100" i="15"/>
  <c r="C98" i="15"/>
  <c r="C96" i="15"/>
  <c r="C94" i="15"/>
  <c r="C92" i="15"/>
  <c r="C90" i="15"/>
  <c r="C88" i="15"/>
  <c r="C86" i="15"/>
  <c r="C84" i="15"/>
  <c r="C82" i="15"/>
  <c r="C80" i="15"/>
  <c r="C78" i="15"/>
  <c r="C76" i="15"/>
  <c r="C74" i="15"/>
  <c r="C72" i="15"/>
  <c r="C70" i="15"/>
  <c r="C68" i="15"/>
  <c r="C66" i="15"/>
  <c r="C64" i="15"/>
  <c r="C62" i="15"/>
  <c r="C60" i="15"/>
  <c r="C58" i="15"/>
  <c r="C56" i="15"/>
  <c r="C54" i="15"/>
  <c r="C52" i="15"/>
  <c r="C50" i="15"/>
  <c r="C48" i="15"/>
  <c r="C46" i="15"/>
  <c r="C44" i="15"/>
  <c r="C42" i="15"/>
  <c r="C40" i="15"/>
  <c r="C38" i="15"/>
  <c r="C36" i="15"/>
  <c r="C34" i="15"/>
  <c r="C32" i="15"/>
  <c r="C30" i="15"/>
  <c r="C28" i="15"/>
  <c r="C26" i="15"/>
  <c r="C24" i="15"/>
  <c r="C22" i="15"/>
  <c r="C20" i="15"/>
  <c r="C18" i="15"/>
  <c r="D12" i="15"/>
  <c r="F13" i="15"/>
  <c r="C45" i="15"/>
  <c r="C37" i="15"/>
  <c r="C29" i="15"/>
  <c r="C21" i="15"/>
  <c r="D113" i="15"/>
  <c r="D111" i="15"/>
  <c r="D109" i="15"/>
  <c r="D107" i="15"/>
  <c r="D105" i="15"/>
  <c r="D103" i="15"/>
  <c r="D101" i="15"/>
  <c r="D99" i="15"/>
  <c r="D97" i="15"/>
  <c r="D95" i="15"/>
  <c r="D93" i="15"/>
  <c r="D91" i="15"/>
  <c r="D89" i="15"/>
  <c r="D87" i="15"/>
  <c r="D85" i="15"/>
  <c r="D83" i="15"/>
  <c r="D81" i="15"/>
  <c r="D79" i="15"/>
  <c r="D77" i="15"/>
  <c r="D75" i="15"/>
  <c r="D73" i="15"/>
  <c r="D71" i="15"/>
  <c r="D69" i="15"/>
  <c r="D67" i="15"/>
  <c r="D65" i="15"/>
  <c r="D63" i="15"/>
  <c r="D61" i="15"/>
  <c r="D59" i="15"/>
  <c r="D57" i="15"/>
  <c r="D55" i="15"/>
  <c r="D53" i="15"/>
  <c r="D51" i="15"/>
  <c r="D49" i="15"/>
  <c r="D47" i="15"/>
  <c r="D45" i="15"/>
  <c r="D43" i="15"/>
  <c r="D41" i="15"/>
  <c r="D39" i="15"/>
  <c r="D37" i="15"/>
  <c r="D35" i="15"/>
  <c r="D33" i="15"/>
  <c r="D31" i="15"/>
  <c r="D29" i="15"/>
  <c r="D27" i="15"/>
  <c r="D25" i="15"/>
  <c r="D23" i="15"/>
  <c r="D21" i="15"/>
  <c r="D19" i="15"/>
  <c r="C49" i="15"/>
  <c r="C39" i="15"/>
  <c r="C31" i="15"/>
  <c r="C23" i="15"/>
  <c r="C113" i="15"/>
  <c r="C111" i="15"/>
  <c r="C109" i="15"/>
  <c r="C107" i="15"/>
  <c r="C105" i="15"/>
  <c r="C103" i="15"/>
  <c r="C101" i="15"/>
  <c r="C99" i="15"/>
  <c r="C97" i="15"/>
  <c r="C95" i="15"/>
  <c r="C93" i="15"/>
  <c r="C91" i="15"/>
  <c r="C89" i="15"/>
  <c r="C87" i="15"/>
  <c r="C85" i="15"/>
  <c r="C83" i="15"/>
  <c r="C81" i="15"/>
  <c r="C79" i="15"/>
  <c r="C77" i="15"/>
  <c r="C75" i="15"/>
  <c r="C73" i="15"/>
  <c r="C71" i="15"/>
  <c r="C69" i="15"/>
  <c r="C67" i="15"/>
  <c r="C65" i="15"/>
  <c r="C63" i="15"/>
  <c r="C61" i="15"/>
  <c r="C59" i="15"/>
  <c r="C57" i="15"/>
  <c r="C55" i="15"/>
  <c r="C53" i="15"/>
  <c r="C51" i="15"/>
  <c r="C47" i="15"/>
  <c r="C41" i="15"/>
  <c r="C35" i="15"/>
  <c r="C27" i="15"/>
  <c r="C19" i="15"/>
  <c r="AA20" i="6"/>
  <c r="AA36" i="6"/>
  <c r="AA30" i="6"/>
  <c r="AA39" i="6"/>
  <c r="AA26" i="6"/>
  <c r="AA19" i="6"/>
  <c r="AB32" i="6"/>
  <c r="AB29" i="6"/>
  <c r="AB26" i="6"/>
  <c r="AB23" i="6"/>
  <c r="AB39" i="6"/>
  <c r="X28" i="6"/>
  <c r="X25" i="6"/>
  <c r="X22" i="6"/>
  <c r="X38" i="6"/>
  <c r="X35" i="6"/>
  <c r="W28" i="6"/>
  <c r="W25" i="6"/>
  <c r="W22" i="6"/>
  <c r="W38" i="6"/>
  <c r="W35" i="6"/>
  <c r="T20" i="6"/>
  <c r="T36" i="6"/>
  <c r="T33" i="6"/>
  <c r="T30" i="6"/>
  <c r="T27" i="6"/>
  <c r="T19" i="6"/>
  <c r="S32" i="6"/>
  <c r="S29" i="6"/>
  <c r="S30" i="6"/>
  <c r="S27" i="6"/>
  <c r="S35" i="6"/>
  <c r="P28" i="6"/>
  <c r="P38" i="6"/>
  <c r="P25" i="6"/>
  <c r="P41" i="6"/>
  <c r="P34" i="6"/>
  <c r="P19" i="6"/>
  <c r="O37" i="6"/>
  <c r="O35" i="6"/>
  <c r="O24" i="6"/>
  <c r="O29" i="6"/>
  <c r="O23" i="6"/>
  <c r="L20" i="6"/>
  <c r="L84" i="6"/>
  <c r="L148" i="6"/>
  <c r="L39" i="6"/>
  <c r="L41" i="6"/>
  <c r="L105" i="6"/>
  <c r="L55" i="6"/>
  <c r="L54" i="6"/>
  <c r="L47" i="6"/>
  <c r="L45" i="6"/>
  <c r="L23" i="6"/>
  <c r="L138" i="6"/>
  <c r="L156" i="6"/>
  <c r="L122" i="6"/>
  <c r="L32" i="6"/>
  <c r="L75" i="6"/>
  <c r="L95" i="6"/>
  <c r="L24" i="6"/>
  <c r="L88" i="6"/>
  <c r="L152" i="6"/>
  <c r="L51" i="6"/>
  <c r="L109" i="6"/>
  <c r="L58" i="6"/>
  <c r="L108" i="6"/>
  <c r="L33" i="6"/>
  <c r="L30" i="6"/>
  <c r="L96" i="6"/>
  <c r="L69" i="6"/>
  <c r="L66" i="6"/>
  <c r="L92" i="6"/>
  <c r="L49" i="6"/>
  <c r="L46" i="6"/>
  <c r="L112" i="6"/>
  <c r="L53" i="6"/>
  <c r="L82" i="6"/>
  <c r="K36" i="6"/>
  <c r="K100" i="6"/>
  <c r="K29" i="6"/>
  <c r="K133" i="6"/>
  <c r="K35" i="6"/>
  <c r="K89" i="6"/>
  <c r="K106" i="6"/>
  <c r="K22" i="6"/>
  <c r="K99" i="6"/>
  <c r="K44" i="6"/>
  <c r="K37" i="6"/>
  <c r="K151" i="6"/>
  <c r="K71" i="6"/>
  <c r="K66" i="6"/>
  <c r="K31" i="6"/>
  <c r="K72" i="6"/>
  <c r="K136" i="6"/>
  <c r="K77" i="6"/>
  <c r="K90" i="6"/>
  <c r="K139" i="6"/>
  <c r="K30" i="6"/>
  <c r="K87" i="6"/>
  <c r="K55" i="6"/>
  <c r="K140" i="6"/>
  <c r="K59" i="6"/>
  <c r="K143" i="6"/>
  <c r="K93" i="6"/>
  <c r="K63" i="6"/>
  <c r="K149" i="6"/>
  <c r="K95" i="6"/>
  <c r="K125" i="6"/>
  <c r="K155" i="6"/>
  <c r="K64" i="6"/>
  <c r="AA24" i="6"/>
  <c r="AA29" i="6"/>
  <c r="AA34" i="6"/>
  <c r="AA21" i="6"/>
  <c r="AA23" i="6"/>
  <c r="AB20" i="6"/>
  <c r="AB36" i="6"/>
  <c r="AB33" i="6"/>
  <c r="AB30" i="6"/>
  <c r="AB27" i="6"/>
  <c r="AB19" i="6"/>
  <c r="X32" i="6"/>
  <c r="X29" i="6"/>
  <c r="X26" i="6"/>
  <c r="X23" i="6"/>
  <c r="X39" i="6"/>
  <c r="W32" i="6"/>
  <c r="W29" i="6"/>
  <c r="W26" i="6"/>
  <c r="W23" i="6"/>
  <c r="W39" i="6"/>
  <c r="T24" i="6"/>
  <c r="T21" i="6"/>
  <c r="T37" i="6"/>
  <c r="T34" i="6"/>
  <c r="T31" i="6"/>
  <c r="S20" i="6"/>
  <c r="S36" i="6"/>
  <c r="S33" i="6"/>
  <c r="S34" i="6"/>
  <c r="S31" i="6"/>
  <c r="S19" i="6"/>
  <c r="P32" i="6"/>
  <c r="P27" i="6"/>
  <c r="P29" i="6"/>
  <c r="P22" i="6"/>
  <c r="P23" i="6"/>
  <c r="O32" i="6"/>
  <c r="O41" i="6"/>
  <c r="O39" i="6"/>
  <c r="O28" i="6"/>
  <c r="O22" i="6"/>
  <c r="O27" i="6"/>
  <c r="L36" i="6"/>
  <c r="L100" i="6"/>
  <c r="L121" i="6"/>
  <c r="L87" i="6"/>
  <c r="L57" i="6"/>
  <c r="L133" i="6"/>
  <c r="L107" i="6"/>
  <c r="L70" i="6"/>
  <c r="L91" i="6"/>
  <c r="L77" i="6"/>
  <c r="L119" i="6"/>
  <c r="L59" i="6"/>
  <c r="L154" i="6"/>
  <c r="L135" i="6"/>
  <c r="L80" i="6"/>
  <c r="L37" i="6"/>
  <c r="L50" i="6"/>
  <c r="L40" i="6"/>
  <c r="L104" i="6"/>
  <c r="L129" i="6"/>
  <c r="L143" i="6"/>
  <c r="L114" i="6"/>
  <c r="L90" i="6"/>
  <c r="L140" i="6"/>
  <c r="L65" i="6"/>
  <c r="L78" i="6"/>
  <c r="L144" i="6"/>
  <c r="L101" i="6"/>
  <c r="L31" i="6"/>
  <c r="L124" i="6"/>
  <c r="L81" i="6"/>
  <c r="L98" i="6"/>
  <c r="L113" i="6"/>
  <c r="L125" i="6"/>
  <c r="L79" i="6"/>
  <c r="K52" i="6"/>
  <c r="K116" i="6"/>
  <c r="K45" i="6"/>
  <c r="K34" i="6"/>
  <c r="K79" i="6"/>
  <c r="K121" i="6"/>
  <c r="K27" i="6"/>
  <c r="K70" i="6"/>
  <c r="K147" i="6"/>
  <c r="K76" i="6"/>
  <c r="K85" i="6"/>
  <c r="K137" i="6"/>
  <c r="K80" i="6"/>
  <c r="K115" i="6"/>
  <c r="K24" i="6"/>
  <c r="K88" i="6"/>
  <c r="K152" i="6"/>
  <c r="K109" i="6"/>
  <c r="K130" i="6"/>
  <c r="K65" i="6"/>
  <c r="K74" i="6"/>
  <c r="K131" i="6"/>
  <c r="K23" i="6"/>
  <c r="K57" i="6"/>
  <c r="K73" i="6"/>
  <c r="AA28" i="6"/>
  <c r="AA33" i="6"/>
  <c r="AA38" i="6"/>
  <c r="AA25" i="6"/>
  <c r="AA31" i="6"/>
  <c r="AB24" i="6"/>
  <c r="AB21" i="6"/>
  <c r="AB37" i="6"/>
  <c r="AB34" i="6"/>
  <c r="AB31" i="6"/>
  <c r="X20" i="6"/>
  <c r="X36" i="6"/>
  <c r="X33" i="6"/>
  <c r="X30" i="6"/>
  <c r="X27" i="6"/>
  <c r="W20" i="6"/>
  <c r="W36" i="6"/>
  <c r="W33" i="6"/>
  <c r="W30" i="6"/>
  <c r="W27" i="6"/>
  <c r="X19" i="6"/>
  <c r="T28" i="6"/>
  <c r="T25" i="6"/>
  <c r="T22" i="6"/>
  <c r="T38" i="6"/>
  <c r="T35" i="6"/>
  <c r="S24" i="6"/>
  <c r="S21" i="6"/>
  <c r="S37" i="6"/>
  <c r="S38" i="6"/>
  <c r="S39" i="6"/>
  <c r="P20" i="6"/>
  <c r="P36" i="6"/>
  <c r="P35" i="6"/>
  <c r="P33" i="6"/>
  <c r="P26" i="6"/>
  <c r="P31" i="6"/>
  <c r="O36" i="6"/>
  <c r="O34" i="6"/>
  <c r="O33" i="6"/>
  <c r="O21" i="6"/>
  <c r="O26" i="6"/>
  <c r="O31" i="6"/>
  <c r="L52" i="6"/>
  <c r="L116" i="6"/>
  <c r="L153" i="6"/>
  <c r="L131" i="6"/>
  <c r="L73" i="6"/>
  <c r="L102" i="6"/>
  <c r="L22" i="6"/>
  <c r="L86" i="6"/>
  <c r="L139" i="6"/>
  <c r="L93" i="6"/>
  <c r="L42" i="6"/>
  <c r="L151" i="6"/>
  <c r="L155" i="6"/>
  <c r="L62" i="6"/>
  <c r="L128" i="6"/>
  <c r="L85" i="6"/>
  <c r="L110" i="6"/>
  <c r="L56" i="6"/>
  <c r="L120" i="6"/>
  <c r="L94" i="6"/>
  <c r="L29" i="6"/>
  <c r="L71" i="6"/>
  <c r="L103" i="6"/>
  <c r="L106" i="6"/>
  <c r="L117" i="6"/>
  <c r="L67" i="6"/>
  <c r="L27" i="6"/>
  <c r="L43" i="6"/>
  <c r="L28" i="6"/>
  <c r="L137" i="6"/>
  <c r="L149" i="6"/>
  <c r="L115" i="6"/>
  <c r="L118" i="6"/>
  <c r="L130" i="6"/>
  <c r="K68" i="6"/>
  <c r="K132" i="6"/>
  <c r="K69" i="6"/>
  <c r="K78" i="6"/>
  <c r="K127" i="6"/>
  <c r="K153" i="6"/>
  <c r="K75" i="6"/>
  <c r="K126" i="6"/>
  <c r="K138" i="6"/>
  <c r="K92" i="6"/>
  <c r="K58" i="6"/>
  <c r="K134" i="6"/>
  <c r="K144" i="6"/>
  <c r="K145" i="6"/>
  <c r="K40" i="6"/>
  <c r="K104" i="6"/>
  <c r="K33" i="6"/>
  <c r="K141" i="6"/>
  <c r="K47" i="6"/>
  <c r="K97" i="6"/>
  <c r="K122" i="6"/>
  <c r="K26" i="6"/>
  <c r="K60" i="6"/>
  <c r="K117" i="6"/>
  <c r="K42" i="6"/>
  <c r="K123" i="6"/>
  <c r="K21" i="6"/>
  <c r="K28" i="6"/>
  <c r="K105" i="6"/>
  <c r="K96" i="6"/>
  <c r="K113" i="6"/>
  <c r="K32" i="6"/>
  <c r="K25" i="6"/>
  <c r="K146" i="6"/>
  <c r="H56" i="6"/>
  <c r="H66" i="6"/>
  <c r="G66" i="6"/>
  <c r="H52" i="6"/>
  <c r="H23" i="6"/>
  <c r="H75" i="6"/>
  <c r="G57" i="6"/>
  <c r="H24" i="6"/>
  <c r="H38" i="6"/>
  <c r="H29" i="6"/>
  <c r="H71" i="6"/>
  <c r="H50" i="6"/>
  <c r="H42" i="6"/>
  <c r="H61" i="6"/>
  <c r="H27" i="6"/>
  <c r="AA32" i="6"/>
  <c r="AA35" i="6"/>
  <c r="AB38" i="6"/>
  <c r="X37" i="6"/>
  <c r="W21" i="6"/>
  <c r="W19" i="6"/>
  <c r="T23" i="6"/>
  <c r="S22" i="6"/>
  <c r="P40" i="6"/>
  <c r="P39" i="6"/>
  <c r="O25" i="6"/>
  <c r="L132" i="6"/>
  <c r="L142" i="6"/>
  <c r="L141" i="6"/>
  <c r="L150" i="6"/>
  <c r="L72" i="6"/>
  <c r="L26" i="6"/>
  <c r="L48" i="6"/>
  <c r="L111" i="6"/>
  <c r="L147" i="6"/>
  <c r="K101" i="6"/>
  <c r="K119" i="6"/>
  <c r="K142" i="6"/>
  <c r="K56" i="6"/>
  <c r="K91" i="6"/>
  <c r="K108" i="6"/>
  <c r="K128" i="6"/>
  <c r="K156" i="6"/>
  <c r="K41" i="6"/>
  <c r="K48" i="6"/>
  <c r="K81" i="6"/>
  <c r="H72" i="6"/>
  <c r="G72" i="6"/>
  <c r="H36" i="6"/>
  <c r="H21" i="6"/>
  <c r="H74" i="6"/>
  <c r="G67" i="6"/>
  <c r="H31" i="6"/>
  <c r="H54" i="6"/>
  <c r="H33" i="6"/>
  <c r="H44" i="6"/>
  <c r="H48" i="6"/>
  <c r="H57" i="6"/>
  <c r="G61" i="6"/>
  <c r="H45" i="6"/>
  <c r="G68" i="6"/>
  <c r="H47" i="6"/>
  <c r="G52" i="6"/>
  <c r="G46" i="6"/>
  <c r="G40" i="6"/>
  <c r="G34" i="6"/>
  <c r="G44" i="6"/>
  <c r="G32" i="6"/>
  <c r="G50" i="6"/>
  <c r="G48" i="6"/>
  <c r="G39" i="6"/>
  <c r="D28" i="6"/>
  <c r="D44" i="6"/>
  <c r="D60" i="6"/>
  <c r="D76" i="6"/>
  <c r="D92" i="6"/>
  <c r="D108" i="6"/>
  <c r="D124" i="6"/>
  <c r="D140" i="6"/>
  <c r="D156" i="6"/>
  <c r="D172" i="6"/>
  <c r="D37" i="6"/>
  <c r="D53" i="6"/>
  <c r="D69" i="6"/>
  <c r="D85" i="6"/>
  <c r="D101" i="6"/>
  <c r="D117" i="6"/>
  <c r="D137" i="6"/>
  <c r="D157" i="6"/>
  <c r="D34" i="6"/>
  <c r="D66" i="6"/>
  <c r="D98" i="6"/>
  <c r="D130" i="6"/>
  <c r="D162" i="6"/>
  <c r="D35" i="6"/>
  <c r="D67" i="6"/>
  <c r="D99" i="6"/>
  <c r="D131" i="6"/>
  <c r="D163" i="6"/>
  <c r="D149" i="6"/>
  <c r="D30" i="6"/>
  <c r="D62" i="6"/>
  <c r="D94" i="6"/>
  <c r="D126" i="6"/>
  <c r="D158" i="6"/>
  <c r="D39" i="6"/>
  <c r="D71" i="6"/>
  <c r="D103" i="6"/>
  <c r="D135" i="6"/>
  <c r="D167" i="6"/>
  <c r="C69" i="6"/>
  <c r="C85" i="6"/>
  <c r="C101" i="6"/>
  <c r="C117" i="6"/>
  <c r="C133" i="6"/>
  <c r="C149" i="6"/>
  <c r="C165" i="6"/>
  <c r="C74" i="6"/>
  <c r="C90" i="6"/>
  <c r="C106" i="6"/>
  <c r="C126" i="6"/>
  <c r="C142" i="6"/>
  <c r="C162" i="6"/>
  <c r="C91" i="6"/>
  <c r="C131" i="6"/>
  <c r="C72" i="6"/>
  <c r="C120" i="6"/>
  <c r="C164" i="6"/>
  <c r="C174" i="6"/>
  <c r="C115" i="6"/>
  <c r="C163" i="6"/>
  <c r="C104" i="6"/>
  <c r="C152" i="6"/>
  <c r="C107" i="6"/>
  <c r="C159" i="6"/>
  <c r="C96" i="6"/>
  <c r="C148" i="6"/>
  <c r="C44" i="6"/>
  <c r="C60" i="6"/>
  <c r="C49" i="6"/>
  <c r="C42" i="6"/>
  <c r="C55" i="6"/>
  <c r="AA22" i="6"/>
  <c r="AB28" i="6"/>
  <c r="AB35" i="6"/>
  <c r="X34" i="6"/>
  <c r="W37" i="6"/>
  <c r="T32" i="6"/>
  <c r="T39" i="6"/>
  <c r="S23" i="6"/>
  <c r="P21" i="6"/>
  <c r="O40" i="6"/>
  <c r="O30" i="6"/>
  <c r="L134" i="6"/>
  <c r="L38" i="6"/>
  <c r="L74" i="6"/>
  <c r="L145" i="6"/>
  <c r="L136" i="6"/>
  <c r="L44" i="6"/>
  <c r="L21" i="6"/>
  <c r="L83" i="6"/>
  <c r="K20" i="6"/>
  <c r="K118" i="6"/>
  <c r="K43" i="6"/>
  <c r="K38" i="6"/>
  <c r="K120" i="6"/>
  <c r="K129" i="6"/>
  <c r="K102" i="6"/>
  <c r="K110" i="6"/>
  <c r="K103" i="6"/>
  <c r="K154" i="6"/>
  <c r="K112" i="6"/>
  <c r="K50" i="6"/>
  <c r="H67" i="6"/>
  <c r="G69" i="6"/>
  <c r="H37" i="6"/>
  <c r="H35" i="6"/>
  <c r="G60" i="6"/>
  <c r="H40" i="6"/>
  <c r="H43" i="6"/>
  <c r="H59" i="6"/>
  <c r="H55" i="6"/>
  <c r="H46" i="6"/>
  <c r="H30" i="6"/>
  <c r="H73" i="6"/>
  <c r="G58" i="6"/>
  <c r="H39" i="6"/>
  <c r="G59" i="6"/>
  <c r="H19" i="6"/>
  <c r="G33" i="6"/>
  <c r="G27" i="6"/>
  <c r="G21" i="6"/>
  <c r="G31" i="6"/>
  <c r="G25" i="6"/>
  <c r="G29" i="6"/>
  <c r="G41" i="6"/>
  <c r="G26" i="6"/>
  <c r="G19" i="6"/>
  <c r="D32" i="6"/>
  <c r="D48" i="6"/>
  <c r="D64" i="6"/>
  <c r="D80" i="6"/>
  <c r="D96" i="6"/>
  <c r="D112" i="6"/>
  <c r="D128" i="6"/>
  <c r="D144" i="6"/>
  <c r="D160" i="6"/>
  <c r="D21" i="6"/>
  <c r="D41" i="6"/>
  <c r="D57" i="6"/>
  <c r="D73" i="6"/>
  <c r="D89" i="6"/>
  <c r="D105" i="6"/>
  <c r="D121" i="6"/>
  <c r="D141" i="6"/>
  <c r="D165" i="6"/>
  <c r="D42" i="6"/>
  <c r="D74" i="6"/>
  <c r="D106" i="6"/>
  <c r="D138" i="6"/>
  <c r="D166" i="6"/>
  <c r="D43" i="6"/>
  <c r="D75" i="6"/>
  <c r="D107" i="6"/>
  <c r="D139" i="6"/>
  <c r="D171" i="6"/>
  <c r="D161" i="6"/>
  <c r="D38" i="6"/>
  <c r="D70" i="6"/>
  <c r="D102" i="6"/>
  <c r="D134" i="6"/>
  <c r="D170" i="6"/>
  <c r="D47" i="6"/>
  <c r="D79" i="6"/>
  <c r="D111" i="6"/>
  <c r="D143" i="6"/>
  <c r="D175" i="6"/>
  <c r="C73" i="6"/>
  <c r="C89" i="6"/>
  <c r="C105" i="6"/>
  <c r="C121" i="6"/>
  <c r="C137" i="6"/>
  <c r="C153" i="6"/>
  <c r="C169" i="6"/>
  <c r="C78" i="6"/>
  <c r="C94" i="6"/>
  <c r="C110" i="6"/>
  <c r="C130" i="6"/>
  <c r="C146" i="6"/>
  <c r="C170" i="6"/>
  <c r="AA27" i="6"/>
  <c r="AB25" i="6"/>
  <c r="X24" i="6"/>
  <c r="X31" i="6"/>
  <c r="W34" i="6"/>
  <c r="T29" i="6"/>
  <c r="S28" i="6"/>
  <c r="S26" i="6"/>
  <c r="P37" i="6"/>
  <c r="O38" i="6"/>
  <c r="O19" i="6"/>
  <c r="L25" i="6"/>
  <c r="L126" i="6"/>
  <c r="L76" i="6"/>
  <c r="L157" i="6"/>
  <c r="L146" i="6"/>
  <c r="L63" i="6"/>
  <c r="L34" i="6"/>
  <c r="L64" i="6"/>
  <c r="K84" i="6"/>
  <c r="K53" i="6"/>
  <c r="K111" i="6"/>
  <c r="K61" i="6"/>
  <c r="K49" i="6"/>
  <c r="K39" i="6"/>
  <c r="K51" i="6"/>
  <c r="K54" i="6"/>
  <c r="K86" i="6"/>
  <c r="K98" i="6"/>
  <c r="K157" i="6"/>
  <c r="K83" i="6"/>
  <c r="H65" i="6"/>
  <c r="G63" i="6"/>
  <c r="H53" i="6"/>
  <c r="H62" i="6"/>
  <c r="G73" i="6"/>
  <c r="H41" i="6"/>
  <c r="G71" i="6"/>
  <c r="G65" i="6"/>
  <c r="H60" i="6"/>
  <c r="H51" i="6"/>
  <c r="H64" i="6"/>
  <c r="H63" i="6"/>
  <c r="G74" i="6"/>
  <c r="H68" i="6"/>
  <c r="H32" i="6"/>
  <c r="G20" i="6"/>
  <c r="G49" i="6"/>
  <c r="G47" i="6"/>
  <c r="G37" i="6"/>
  <c r="G51" i="6"/>
  <c r="G22" i="6"/>
  <c r="G45" i="6"/>
  <c r="G38" i="6"/>
  <c r="G23" i="6"/>
  <c r="D20" i="6"/>
  <c r="D36" i="6"/>
  <c r="D52" i="6"/>
  <c r="D68" i="6"/>
  <c r="D84" i="6"/>
  <c r="D100" i="6"/>
  <c r="D116" i="6"/>
  <c r="D132" i="6"/>
  <c r="D148" i="6"/>
  <c r="D164" i="6"/>
  <c r="D29" i="6"/>
  <c r="D45" i="6"/>
  <c r="D61" i="6"/>
  <c r="D77" i="6"/>
  <c r="D93" i="6"/>
  <c r="D109" i="6"/>
  <c r="D129" i="6"/>
  <c r="D145" i="6"/>
  <c r="D173" i="6"/>
  <c r="D50" i="6"/>
  <c r="D82" i="6"/>
  <c r="D114" i="6"/>
  <c r="D146" i="6"/>
  <c r="D174" i="6"/>
  <c r="D51" i="6"/>
  <c r="D83" i="6"/>
  <c r="D115" i="6"/>
  <c r="D147" i="6"/>
  <c r="D25" i="6"/>
  <c r="D169" i="6"/>
  <c r="D46" i="6"/>
  <c r="D78" i="6"/>
  <c r="D110" i="6"/>
  <c r="D142" i="6"/>
  <c r="D23" i="6"/>
  <c r="D55" i="6"/>
  <c r="D87" i="6"/>
  <c r="D119" i="6"/>
  <c r="D151" i="6"/>
  <c r="D19" i="6"/>
  <c r="C77" i="6"/>
  <c r="AA37" i="6"/>
  <c r="AB22" i="6"/>
  <c r="X21" i="6"/>
  <c r="W24" i="6"/>
  <c r="W31" i="6"/>
  <c r="T26" i="6"/>
  <c r="S25" i="6"/>
  <c r="P24" i="6"/>
  <c r="P30" i="6"/>
  <c r="O20" i="6"/>
  <c r="L68" i="6"/>
  <c r="L89" i="6"/>
  <c r="L99" i="6"/>
  <c r="L97" i="6"/>
  <c r="L127" i="6"/>
  <c r="L61" i="6"/>
  <c r="L35" i="6"/>
  <c r="L60" i="6"/>
  <c r="L123" i="6"/>
  <c r="K148" i="6"/>
  <c r="K62" i="6"/>
  <c r="K124" i="6"/>
  <c r="K107" i="6"/>
  <c r="K46" i="6"/>
  <c r="K82" i="6"/>
  <c r="K150" i="6"/>
  <c r="K114" i="6"/>
  <c r="K94" i="6"/>
  <c r="K135" i="6"/>
  <c r="K67" i="6"/>
  <c r="K19" i="6"/>
  <c r="G56" i="6"/>
  <c r="H20" i="6"/>
  <c r="H34" i="6"/>
  <c r="H69" i="6"/>
  <c r="G70" i="6"/>
  <c r="H22" i="6"/>
  <c r="H26" i="6"/>
  <c r="G75" i="6"/>
  <c r="H25" i="6"/>
  <c r="G62" i="6"/>
  <c r="H70" i="6"/>
  <c r="G64" i="6"/>
  <c r="H28" i="6"/>
  <c r="H58" i="6"/>
  <c r="H49" i="6"/>
  <c r="G36" i="6"/>
  <c r="G30" i="6"/>
  <c r="G24" i="6"/>
  <c r="G53" i="6"/>
  <c r="G28" i="6"/>
  <c r="G54" i="6"/>
  <c r="G42" i="6"/>
  <c r="G55" i="6"/>
  <c r="G43" i="6"/>
  <c r="D24" i="6"/>
  <c r="D40" i="6"/>
  <c r="D56" i="6"/>
  <c r="D72" i="6"/>
  <c r="D88" i="6"/>
  <c r="D104" i="6"/>
  <c r="D120" i="6"/>
  <c r="D136" i="6"/>
  <c r="D152" i="6"/>
  <c r="D65" i="6"/>
  <c r="D133" i="6"/>
  <c r="D90" i="6"/>
  <c r="D59" i="6"/>
  <c r="D125" i="6"/>
  <c r="D118" i="6"/>
  <c r="D95" i="6"/>
  <c r="C81" i="6"/>
  <c r="C113" i="6"/>
  <c r="C145" i="6"/>
  <c r="C70" i="6"/>
  <c r="C102" i="6"/>
  <c r="C138" i="6"/>
  <c r="C83" i="6"/>
  <c r="C143" i="6"/>
  <c r="C100" i="6"/>
  <c r="C156" i="6"/>
  <c r="C79" i="6"/>
  <c r="C139" i="6"/>
  <c r="C92" i="6"/>
  <c r="C168" i="6"/>
  <c r="C135" i="6"/>
  <c r="C88" i="6"/>
  <c r="C160" i="6"/>
  <c r="C52" i="6"/>
  <c r="C45" i="6"/>
  <c r="C50" i="6"/>
  <c r="C41" i="6"/>
  <c r="C58" i="6"/>
  <c r="C59" i="6"/>
  <c r="C28" i="6"/>
  <c r="C25" i="6"/>
  <c r="C22" i="6"/>
  <c r="C38" i="6"/>
  <c r="C35" i="6"/>
  <c r="C155" i="6"/>
  <c r="C122" i="6"/>
  <c r="C151" i="6"/>
  <c r="C71" i="6"/>
  <c r="C147" i="6"/>
  <c r="C172" i="6"/>
  <c r="C53" i="6"/>
  <c r="C66" i="6"/>
  <c r="C62" i="6"/>
  <c r="C67" i="6"/>
  <c r="C29" i="6"/>
  <c r="C26" i="6"/>
  <c r="C39" i="6"/>
  <c r="C175" i="6"/>
  <c r="C171" i="6"/>
  <c r="C40" i="6"/>
  <c r="C57" i="6"/>
  <c r="C43" i="6"/>
  <c r="C20" i="6"/>
  <c r="C30" i="6"/>
  <c r="C27" i="6"/>
  <c r="D113" i="6"/>
  <c r="D63" i="6"/>
  <c r="F13" i="6"/>
  <c r="C173" i="6"/>
  <c r="C134" i="6"/>
  <c r="C119" i="6"/>
  <c r="C166" i="6"/>
  <c r="C127" i="6"/>
  <c r="C123" i="6"/>
  <c r="C136" i="6"/>
  <c r="C68" i="6"/>
  <c r="C54" i="6"/>
  <c r="C51" i="6"/>
  <c r="C37" i="6"/>
  <c r="D168" i="6"/>
  <c r="D81" i="6"/>
  <c r="D153" i="6"/>
  <c r="D122" i="6"/>
  <c r="D91" i="6"/>
  <c r="D22" i="6"/>
  <c r="D150" i="6"/>
  <c r="D127" i="6"/>
  <c r="C93" i="6"/>
  <c r="C125" i="6"/>
  <c r="C157" i="6"/>
  <c r="C82" i="6"/>
  <c r="C114" i="6"/>
  <c r="C150" i="6"/>
  <c r="C99" i="6"/>
  <c r="C112" i="6"/>
  <c r="C87" i="6"/>
  <c r="C116" i="6"/>
  <c r="C108" i="6"/>
  <c r="C56" i="6"/>
  <c r="C61" i="6"/>
  <c r="C32" i="6"/>
  <c r="C23" i="6"/>
  <c r="C95" i="6"/>
  <c r="C64" i="6"/>
  <c r="C46" i="6"/>
  <c r="C36" i="6"/>
  <c r="C19" i="6"/>
  <c r="D58" i="6"/>
  <c r="D155" i="6"/>
  <c r="C109" i="6"/>
  <c r="C75" i="6"/>
  <c r="C144" i="6"/>
  <c r="C140" i="6"/>
  <c r="C48" i="6"/>
  <c r="C63" i="6"/>
  <c r="C21" i="6"/>
  <c r="C31" i="6"/>
  <c r="D33" i="6"/>
  <c r="D97" i="6"/>
  <c r="D26" i="6"/>
  <c r="D154" i="6"/>
  <c r="D123" i="6"/>
  <c r="D54" i="6"/>
  <c r="D31" i="6"/>
  <c r="D159" i="6"/>
  <c r="C97" i="6"/>
  <c r="C129" i="6"/>
  <c r="C161" i="6"/>
  <c r="C86" i="6"/>
  <c r="C118" i="6"/>
  <c r="C158" i="6"/>
  <c r="C111" i="6"/>
  <c r="C167" i="6"/>
  <c r="C132" i="6"/>
  <c r="C154" i="6"/>
  <c r="C103" i="6"/>
  <c r="C128" i="6"/>
  <c r="C124" i="6"/>
  <c r="C47" i="6"/>
  <c r="C33" i="6"/>
  <c r="D49" i="6"/>
  <c r="D27" i="6"/>
  <c r="D86" i="6"/>
  <c r="C141" i="6"/>
  <c r="C98" i="6"/>
  <c r="C84" i="6"/>
  <c r="C80" i="6"/>
  <c r="C76" i="6"/>
  <c r="C65" i="6"/>
  <c r="C24" i="6"/>
  <c r="C34" i="6"/>
  <c r="S17" i="3"/>
  <c r="Q16" i="3"/>
  <c r="H17" i="3"/>
  <c r="L17" i="3"/>
  <c r="F17" i="3"/>
  <c r="D17" i="3"/>
  <c r="J17" i="3"/>
  <c r="T17" i="3"/>
  <c r="N17" i="3"/>
  <c r="M16" i="3"/>
  <c r="S16" i="3"/>
  <c r="T16" i="3"/>
  <c r="F16" i="3"/>
  <c r="M17" i="3"/>
  <c r="R17" i="3"/>
  <c r="L16" i="3"/>
  <c r="V16" i="3"/>
  <c r="N16" i="3"/>
  <c r="I16" i="3"/>
  <c r="E17" i="3"/>
  <c r="F14" i="6"/>
  <c r="D16" i="3"/>
  <c r="P16" i="3"/>
  <c r="H16" i="3"/>
  <c r="I17" i="3"/>
  <c r="R16" i="3"/>
  <c r="K17" i="3"/>
  <c r="P17" i="3"/>
  <c r="O17" i="3"/>
  <c r="V17" i="3"/>
  <c r="D14" i="6"/>
  <c r="G17" i="3"/>
  <c r="O16" i="3"/>
  <c r="D13" i="6"/>
  <c r="W17" i="3"/>
  <c r="J16" i="3"/>
  <c r="U16" i="3"/>
  <c r="E16" i="3"/>
  <c r="U17" i="3"/>
  <c r="Q17" i="3"/>
  <c r="K16" i="3"/>
  <c r="W16" i="3"/>
  <c r="G16" i="3"/>
  <c r="L19" i="6"/>
  <c r="S19" i="1" l="1"/>
  <c r="S21" i="1"/>
  <c r="S22" i="1" s="1"/>
  <c r="X11" i="2"/>
</calcChain>
</file>

<file path=xl/comments1.xml><?xml version="1.0" encoding="utf-8"?>
<comments xmlns="http://schemas.openxmlformats.org/spreadsheetml/2006/main">
  <authors>
    <author>RevIT</author>
  </authors>
  <commentList>
    <comment ref="L14" authorId="0" shapeId="0">
      <text>
        <r>
          <rPr>
            <sz val="14"/>
            <color rgb="FF000000"/>
            <rFont val="Book Antiqua"/>
            <family val="18"/>
          </rPr>
          <t xml:space="preserve">Analytically, we can look at:
</t>
        </r>
        <r>
          <rPr>
            <sz val="14"/>
            <color rgb="FF000000"/>
            <rFont val="Book Antiqua"/>
            <family val="18"/>
          </rPr>
          <t xml:space="preserve">- the Maximum over [0,T] being below S0 for a call, and
</t>
        </r>
        <r>
          <rPr>
            <sz val="14"/>
            <color rgb="FF000000"/>
            <rFont val="Book Antiqua"/>
            <family val="18"/>
          </rPr>
          <t xml:space="preserve">- the Minimum over [0,T] being above S0 for a put.
</t>
        </r>
        <r>
          <rPr>
            <sz val="14"/>
            <color rgb="FF000000"/>
            <rFont val="Book Antiqua"/>
            <family val="18"/>
          </rPr>
          <t xml:space="preserve">
</t>
        </r>
        <r>
          <rPr>
            <sz val="14"/>
            <color rgb="FF000000"/>
            <rFont val="Book Antiqua"/>
            <family val="18"/>
          </rPr>
          <t xml:space="preserve">However, realistically:
</t>
        </r>
        <r>
          <rPr>
            <sz val="14"/>
            <color rgb="FF000000"/>
            <rFont val="Book Antiqua"/>
            <family val="18"/>
          </rPr>
          <t xml:space="preserve">- for a call, S0 is the lowest maximum possible
</t>
        </r>
        <r>
          <rPr>
            <sz val="14"/>
            <color rgb="FF000000"/>
            <rFont val="Book Antiqua"/>
            <family val="18"/>
          </rPr>
          <t>- for a put, S0 is the highest minimum possible</t>
        </r>
      </text>
    </comment>
  </commentList>
</comments>
</file>

<file path=xl/sharedStrings.xml><?xml version="1.0" encoding="utf-8"?>
<sst xmlns="http://schemas.openxmlformats.org/spreadsheetml/2006/main" count="468" uniqueCount="115">
  <si>
    <t>Underlying</t>
  </si>
  <si>
    <t>Dividend Yield</t>
  </si>
  <si>
    <t>Time to Maturity</t>
  </si>
  <si>
    <t>Strike Price</t>
  </si>
  <si>
    <t>Risk-free Rate</t>
  </si>
  <si>
    <t>Volatility</t>
  </si>
  <si>
    <t>realized maximum</t>
  </si>
  <si>
    <t>Yield Discounted Stock</t>
  </si>
  <si>
    <t>CDF Stnd Normal (d1)</t>
  </si>
  <si>
    <t>Risk-free Discounted Strike</t>
  </si>
  <si>
    <t>d2</t>
  </si>
  <si>
    <r>
      <t>CDF Stnd Normal (</t>
    </r>
    <r>
      <rPr>
        <b/>
        <sz val="11"/>
        <color theme="1"/>
        <rFont val="Calibri"/>
        <family val="2"/>
        <scheme val="minor"/>
      </rPr>
      <t>d2</t>
    </r>
    <r>
      <rPr>
        <sz val="11"/>
        <color theme="1"/>
        <rFont val="Calibri"/>
        <family val="2"/>
        <scheme val="minor"/>
      </rPr>
      <t>)</t>
    </r>
  </si>
  <si>
    <t>Risk-free discounted Stock</t>
  </si>
  <si>
    <t>elapsed time</t>
  </si>
  <si>
    <t>Return-Adusted Variance</t>
  </si>
  <si>
    <t>Asset:Strike ratio</t>
  </si>
  <si>
    <t>inverse R-A Var</t>
  </si>
  <si>
    <t>Volatility Quotient</t>
  </si>
  <si>
    <t>Continuous gain</t>
  </si>
  <si>
    <t>d1 - Volatility Quotient</t>
  </si>
  <si>
    <t>CDF Stnd Normal(d1 - Vola Quot)</t>
  </si>
  <si>
    <t>Remaining Time</t>
  </si>
  <si>
    <t>Vola * Sqrt(Remaining Time)</t>
  </si>
  <si>
    <t>Max diff</t>
  </si>
  <si>
    <t>Risk-free Discounted Max-diff</t>
  </si>
  <si>
    <t>Risk-free discounted Max</t>
  </si>
  <si>
    <t>Asset:Max ratio</t>
  </si>
  <si>
    <t>d1 using Max</t>
  </si>
  <si>
    <t>d1 using Strike</t>
  </si>
  <si>
    <t>Left of Product</t>
  </si>
  <si>
    <t>Right of Product</t>
  </si>
  <si>
    <t>Call Price</t>
  </si>
  <si>
    <t>realized minimum</t>
  </si>
  <si>
    <t>Put Price</t>
  </si>
  <si>
    <t>Dim</t>
  </si>
  <si>
    <t>as</t>
  </si>
  <si>
    <t>Double</t>
  </si>
  <si>
    <t>S0</t>
  </si>
  <si>
    <t>X</t>
  </si>
  <si>
    <t>r</t>
  </si>
  <si>
    <t>q</t>
  </si>
  <si>
    <t>sigma</t>
  </si>
  <si>
    <t>T</t>
  </si>
  <si>
    <t>t</t>
  </si>
  <si>
    <t>M or m</t>
  </si>
  <si>
    <t>realized maximum or minimum</t>
  </si>
  <si>
    <t>Variable</t>
  </si>
  <si>
    <t>As Known As</t>
  </si>
  <si>
    <t>EX1</t>
  </si>
  <si>
    <t>EX2</t>
  </si>
  <si>
    <t>EX3</t>
  </si>
  <si>
    <t>EX4</t>
  </si>
  <si>
    <t>EX5</t>
  </si>
  <si>
    <t>EX6</t>
  </si>
  <si>
    <t>EX7</t>
  </si>
  <si>
    <t>EX8</t>
  </si>
  <si>
    <t>Price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</si>
  <si>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</si>
  <si>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</si>
  <si>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</si>
  <si>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</si>
  <si>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</si>
  <si>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</si>
  <si>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</si>
  <si>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</si>
  <si>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</si>
  <si>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</si>
  <si>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</si>
  <si>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</si>
  <si>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Analytically, we can look at:</t>
  </si>
  <si>
    <t>- the Maximum over [0,T] being below S0 for a call, and</t>
  </si>
  <si>
    <t>- the Minimum over [0,T] being above S0 for a put.</t>
  </si>
  <si>
    <t>However, realistically:</t>
  </si>
  <si>
    <t>- for a call, S0 is the lowest maximum possible</t>
  </si>
  <si>
    <t>- for a put, S0 is the highest minimum possible</t>
  </si>
  <si>
    <t>Fixed-Strike Lookback Call</t>
  </si>
  <si>
    <t>Fixed-Strike Lookback Put</t>
  </si>
  <si>
    <t>Call</t>
  </si>
  <si>
    <t>Put</t>
  </si>
  <si>
    <t>vol</t>
  </si>
  <si>
    <t>a</t>
  </si>
  <si>
    <t>b</t>
  </si>
  <si>
    <t>c</t>
  </si>
  <si>
    <t>ab</t>
  </si>
  <si>
    <t>ac</t>
  </si>
  <si>
    <t>ba</t>
  </si>
  <si>
    <t>duplicate</t>
  </si>
  <si>
    <t>bc</t>
  </si>
  <si>
    <t>ca</t>
  </si>
  <si>
    <t>abc</t>
  </si>
  <si>
    <t>Scenarios for variables a, b, and c being  greater less than or equal to an other</t>
  </si>
  <si>
    <r>
      <rPr>
        <sz val="14"/>
        <color rgb="FF0070C0"/>
        <rFont val="Arial"/>
        <family val="2"/>
      </rPr>
      <t xml:space="preserve">The input variables are listed </t>
    </r>
    <r>
      <rPr>
        <sz val="14"/>
        <color rgb="FF002060"/>
        <rFont val="Arial"/>
        <family val="2"/>
      </rPr>
      <t>in the order they must appear</t>
    </r>
    <r>
      <rPr>
        <sz val="14"/>
        <color rgb="FF0070C0"/>
        <rFont val="Arial"/>
        <family val="2"/>
      </rPr>
      <t xml:space="preserve"> in the function.
To use the function, you should also pick your own Realized </t>
    </r>
    <r>
      <rPr>
        <sz val="14"/>
        <color theme="1"/>
        <rFont val="Arial"/>
        <family val="2"/>
      </rPr>
      <t>Maximum</t>
    </r>
    <r>
      <rPr>
        <sz val="14"/>
        <color rgb="FF0070C0"/>
        <rFont val="Arial"/>
        <family val="2"/>
      </rPr>
      <t xml:space="preserve"> or Realized </t>
    </r>
    <r>
      <rPr>
        <sz val="14"/>
        <color theme="1"/>
        <rFont val="Arial"/>
        <family val="2"/>
      </rPr>
      <t>Minimum</t>
    </r>
    <r>
      <rPr>
        <sz val="14"/>
        <color rgb="FF0070C0"/>
        <rFont val="Arial"/>
        <family val="2"/>
      </rPr>
      <t xml:space="preserve"> (M or m). M is used for calls, and m for put. If no value is provided, the funciton </t>
    </r>
    <r>
      <rPr>
        <u/>
        <sz val="14"/>
        <color rgb="FF0070C0"/>
        <rFont val="Arial"/>
        <family val="2"/>
      </rPr>
      <t>assumes</t>
    </r>
    <r>
      <rPr>
        <sz val="14"/>
        <color rgb="FF0070C0"/>
        <rFont val="Arial"/>
        <family val="2"/>
      </rPr>
      <t xml:space="preserve"> the realized Min or Max is the same as the strike price.
To indicate a put function, the last input is </t>
    </r>
    <r>
      <rPr>
        <sz val="14"/>
        <color theme="1"/>
        <rFont val="Arial"/>
        <family val="2"/>
      </rPr>
      <t>"put"</t>
    </r>
    <r>
      <rPr>
        <sz val="14"/>
        <color rgb="FF0070C0"/>
        <rFont val="Arial"/>
        <family val="2"/>
      </rPr>
      <t xml:space="preserve">. If not supplied, the function will </t>
    </r>
    <r>
      <rPr>
        <u/>
        <sz val="14"/>
        <color rgb="FF0070C0"/>
        <rFont val="Arial"/>
        <family val="2"/>
      </rPr>
      <t>assume</t>
    </r>
    <r>
      <rPr>
        <sz val="14"/>
        <color rgb="FF0070C0"/>
        <rFont val="Arial"/>
        <family val="2"/>
      </rPr>
      <t xml:space="preserve"> it's a call option.
Examples below:</t>
    </r>
  </si>
  <si>
    <t>Strike</t>
  </si>
  <si>
    <t>Risk free</t>
  </si>
  <si>
    <t>Dividend</t>
  </si>
  <si>
    <t>Time</t>
  </si>
  <si>
    <t>Elapsed Time</t>
  </si>
  <si>
    <t>Extreme Value</t>
  </si>
  <si>
    <t>Black Scholes Call</t>
  </si>
  <si>
    <t>Black Scholes Put</t>
  </si>
  <si>
    <t>Default Situation is M &gt; S0 &gt; X, unless one of those three variables is being changed.</t>
  </si>
  <si>
    <t>Risk-free rate</t>
  </si>
  <si>
    <t>BSM Call</t>
  </si>
  <si>
    <t>FSLB Call</t>
  </si>
  <si>
    <t>Dividend Rate</t>
  </si>
  <si>
    <t>Call Price Sensitivity to …</t>
  </si>
  <si>
    <t>Put Sensitivity to …</t>
  </si>
  <si>
    <t>Risk free rate</t>
  </si>
  <si>
    <t>Fixed-Strike</t>
  </si>
  <si>
    <t>Black Scholes</t>
  </si>
  <si>
    <t>when Strike price is higher than underlying asset price and M our extreme value is lower than underlying asset price</t>
  </si>
  <si>
    <t>while Dividend yield  is variable</t>
  </si>
  <si>
    <t>The volatility for Fixed-Strike lookback put option goes as volatility goes up but as much as Black Scholes option. It seems Black Scholes option  moves up twice as Foxed-strike lookback option does.</t>
  </si>
  <si>
    <t>we se e that as the rf rate goes up the payoff of Fixed -strike looback put option becoem higher, while BSM ggoes down.</t>
  </si>
  <si>
    <t>Dividend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</si>
</sst>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sz val="14"/>
      <color rgb="FF002060"/>
      <name val="Arial"/>
      <family val="2"/>
    </font>
    <font>
      <sz val="14"/>
      <color rgb="FF0070C0"/>
      <name val="Arial"/>
      <family val="2"/>
    </font>
    <font>
      <u/>
      <sz val="14"/>
      <color rgb="FF0070C0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sz val="14"/>
      <color rgb="FF000000"/>
      <name val="Book Antiqua"/>
      <family val="18"/>
    </font>
    <font>
      <sz val="14"/>
      <color theme="1"/>
      <name val="Book Antiqua"/>
      <family val="1"/>
    </font>
    <font>
      <i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0" fillId="2" borderId="0" xfId="0" applyFont="1" applyFill="1" applyAlignment="1">
      <alignment horizontal="center"/>
    </xf>
    <xf numFmtId="0" fontId="5" fillId="3" borderId="0" xfId="0" applyFont="1" applyFill="1"/>
    <xf numFmtId="0" fontId="10" fillId="0" borderId="0" xfId="0" applyFont="1"/>
    <xf numFmtId="0" fontId="11" fillId="0" borderId="0" xfId="0" applyFont="1" applyBorder="1" applyAlignment="1">
      <alignment horizontal="center"/>
    </xf>
    <xf numFmtId="0" fontId="13" fillId="0" borderId="0" xfId="0" applyFont="1" applyAlignment="1">
      <alignment horizontal="left" vertical="center" readingOrder="1"/>
    </xf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0" xfId="0" applyFont="1"/>
    <xf numFmtId="0" fontId="3" fillId="4" borderId="0" xfId="0" applyFont="1" applyFill="1"/>
    <xf numFmtId="0" fontId="14" fillId="4" borderId="0" xfId="0" applyFont="1" applyFill="1"/>
    <xf numFmtId="0" fontId="2" fillId="0" borderId="0" xfId="0" applyFont="1"/>
    <xf numFmtId="0" fontId="14" fillId="4" borderId="0" xfId="0" applyFont="1" applyFill="1" applyAlignment="1"/>
    <xf numFmtId="0" fontId="2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1" fillId="0" borderId="0" xfId="0" applyFont="1"/>
    <xf numFmtId="0" fontId="1" fillId="4" borderId="0" xfId="0" applyFont="1" applyFill="1"/>
    <xf numFmtId="0" fontId="7" fillId="0" borderId="1" xfId="0" applyFont="1" applyBorder="1" applyAlignment="1">
      <alignment horizontal="left" vertical="top" wrapText="1"/>
    </xf>
    <xf numFmtId="0" fontId="7" fillId="0" borderId="2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7" fillId="0" borderId="4" xfId="0" applyFont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11" fillId="0" borderId="0" xfId="0" applyFont="1" applyAlignment="1">
      <alignment horizontal="center" vertical="center"/>
    </xf>
    <xf numFmtId="0" fontId="14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xml"/><Relationship Id="rId13" Type="http://schemas.openxmlformats.org/officeDocument/2006/relationships/chartsheet" Target="chartsheets/sheet9.xml"/><Relationship Id="rId18" Type="http://schemas.openxmlformats.org/officeDocument/2006/relationships/styles" Target="styles.xml"/><Relationship Id="rId3" Type="http://schemas.openxmlformats.org/officeDocument/2006/relationships/chartsheet" Target="chartsheets/sheet1.xml"/><Relationship Id="rId21" Type="http://schemas.microsoft.com/office/2006/relationships/vbaProject" Target="vbaProject.bin"/><Relationship Id="rId7" Type="http://schemas.openxmlformats.org/officeDocument/2006/relationships/chartsheet" Target="chartsheets/sheet5.xml"/><Relationship Id="rId12" Type="http://schemas.openxmlformats.org/officeDocument/2006/relationships/worksheet" Target="worksheets/sheet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7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chartsheet" Target="chartsheets/sheet8.xml"/><Relationship Id="rId5" Type="http://schemas.openxmlformats.org/officeDocument/2006/relationships/chartsheet" Target="chartsheets/sheet3.xml"/><Relationship Id="rId15" Type="http://schemas.openxmlformats.org/officeDocument/2006/relationships/worksheet" Target="worksheets/sheet6.xml"/><Relationship Id="rId10" Type="http://schemas.openxmlformats.org/officeDocument/2006/relationships/worksheet" Target="worksheets/sheet3.xml"/><Relationship Id="rId19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chartsheet" Target="chartsheets/sheet7.xml"/><Relationship Id="rId14" Type="http://schemas.openxmlformats.org/officeDocument/2006/relationships/worksheet" Target="worksheets/sheet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tx1"/>
                </a:solidFill>
              </a:rPr>
              <a:t>Price Sensitivity to Risk Free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'Call Sensitivity'!$C$18</c:f>
              <c:strCache>
                <c:ptCount val="1"/>
                <c:pt idx="0">
                  <c:v>FSLB Call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'Call Sensitivity'!$B$19:$B$175</c:f>
              <c:numCache>
                <c:formatCode>General</c:formatCode>
                <c:ptCount val="157"/>
                <c:pt idx="0">
                  <c:v>0.01</c:v>
                </c:pt>
                <c:pt idx="1">
                  <c:v>1.2500000000000001E-2</c:v>
                </c:pt>
                <c:pt idx="2">
                  <c:v>1.4999999999999999E-2</c:v>
                </c:pt>
                <c:pt idx="3">
                  <c:v>1.7500000000000002E-2</c:v>
                </c:pt>
                <c:pt idx="4">
                  <c:v>0.02</c:v>
                </c:pt>
                <c:pt idx="5">
                  <c:v>2.2499999999999999E-2</c:v>
                </c:pt>
                <c:pt idx="6">
                  <c:v>2.5000000000000001E-2</c:v>
                </c:pt>
                <c:pt idx="7">
                  <c:v>2.75E-2</c:v>
                </c:pt>
                <c:pt idx="8">
                  <c:v>0.03</c:v>
                </c:pt>
                <c:pt idx="9">
                  <c:v>3.2500000000000001E-2</c:v>
                </c:pt>
                <c:pt idx="10">
                  <c:v>3.5000000000000003E-2</c:v>
                </c:pt>
                <c:pt idx="11">
                  <c:v>3.7499999999999999E-2</c:v>
                </c:pt>
                <c:pt idx="12">
                  <c:v>0.04</c:v>
                </c:pt>
                <c:pt idx="13">
                  <c:v>4.2500000000000003E-2</c:v>
                </c:pt>
                <c:pt idx="14">
                  <c:v>4.4999999999999998E-2</c:v>
                </c:pt>
                <c:pt idx="15">
                  <c:v>4.7500000000000001E-2</c:v>
                </c:pt>
                <c:pt idx="16">
                  <c:v>0.05</c:v>
                </c:pt>
                <c:pt idx="17">
                  <c:v>5.2499999999999998E-2</c:v>
                </c:pt>
                <c:pt idx="18">
                  <c:v>5.5E-2</c:v>
                </c:pt>
                <c:pt idx="19">
                  <c:v>5.7500000000000002E-2</c:v>
                </c:pt>
                <c:pt idx="20">
                  <c:v>0.06</c:v>
                </c:pt>
                <c:pt idx="21">
                  <c:v>6.25E-2</c:v>
                </c:pt>
                <c:pt idx="22">
                  <c:v>6.5000000000000002E-2</c:v>
                </c:pt>
                <c:pt idx="23">
                  <c:v>6.7500000000000004E-2</c:v>
                </c:pt>
                <c:pt idx="24">
                  <c:v>7.0000000000000007E-2</c:v>
                </c:pt>
                <c:pt idx="25">
                  <c:v>7.2499999999999995E-2</c:v>
                </c:pt>
                <c:pt idx="26">
                  <c:v>7.4999999999999997E-2</c:v>
                </c:pt>
                <c:pt idx="27">
                  <c:v>7.7499999999999999E-2</c:v>
                </c:pt>
                <c:pt idx="28">
                  <c:v>0.08</c:v>
                </c:pt>
                <c:pt idx="29">
                  <c:v>8.2500000000000004E-2</c:v>
                </c:pt>
                <c:pt idx="30">
                  <c:v>8.5000000000000006E-2</c:v>
                </c:pt>
                <c:pt idx="31">
                  <c:v>8.7499999999999994E-2</c:v>
                </c:pt>
                <c:pt idx="32">
                  <c:v>0.09</c:v>
                </c:pt>
                <c:pt idx="33">
                  <c:v>9.2499999999999999E-2</c:v>
                </c:pt>
                <c:pt idx="34">
                  <c:v>9.5000000000000001E-2</c:v>
                </c:pt>
                <c:pt idx="35">
                  <c:v>9.7500000000000003E-2</c:v>
                </c:pt>
                <c:pt idx="36">
                  <c:v>0.1</c:v>
                </c:pt>
                <c:pt idx="37">
                  <c:v>0.10249999999999999</c:v>
                </c:pt>
                <c:pt idx="38">
                  <c:v>0.105</c:v>
                </c:pt>
                <c:pt idx="39">
                  <c:v>0.1075</c:v>
                </c:pt>
                <c:pt idx="40">
                  <c:v>0.11</c:v>
                </c:pt>
                <c:pt idx="41">
                  <c:v>0.1125</c:v>
                </c:pt>
                <c:pt idx="42">
                  <c:v>0.115</c:v>
                </c:pt>
                <c:pt idx="43">
                  <c:v>0.11749999999999999</c:v>
                </c:pt>
                <c:pt idx="44">
                  <c:v>0.12</c:v>
                </c:pt>
                <c:pt idx="45">
                  <c:v>0.1225</c:v>
                </c:pt>
                <c:pt idx="46">
                  <c:v>0.125</c:v>
                </c:pt>
                <c:pt idx="47">
                  <c:v>0.1275</c:v>
                </c:pt>
                <c:pt idx="48">
                  <c:v>0.13</c:v>
                </c:pt>
                <c:pt idx="49">
                  <c:v>0.13250000000000001</c:v>
                </c:pt>
                <c:pt idx="50">
                  <c:v>0.13500000000000001</c:v>
                </c:pt>
                <c:pt idx="51">
                  <c:v>0.13750000000000001</c:v>
                </c:pt>
                <c:pt idx="52">
                  <c:v>0.14000000000000001</c:v>
                </c:pt>
                <c:pt idx="53">
                  <c:v>0.14249999999999999</c:v>
                </c:pt>
                <c:pt idx="54">
                  <c:v>0.14499999999999999</c:v>
                </c:pt>
                <c:pt idx="55">
                  <c:v>0.14749999999999999</c:v>
                </c:pt>
                <c:pt idx="56">
                  <c:v>0.15</c:v>
                </c:pt>
                <c:pt idx="57">
                  <c:v>0.1525</c:v>
                </c:pt>
                <c:pt idx="58">
                  <c:v>0.155</c:v>
                </c:pt>
                <c:pt idx="59">
                  <c:v>0.1575</c:v>
                </c:pt>
                <c:pt idx="60">
                  <c:v>0.16</c:v>
                </c:pt>
                <c:pt idx="61">
                  <c:v>0.16250000000000001</c:v>
                </c:pt>
                <c:pt idx="62">
                  <c:v>0.16500000000000001</c:v>
                </c:pt>
                <c:pt idx="63">
                  <c:v>0.16750000000000001</c:v>
                </c:pt>
                <c:pt idx="64">
                  <c:v>0.17</c:v>
                </c:pt>
                <c:pt idx="65">
                  <c:v>0.17249999999999999</c:v>
                </c:pt>
                <c:pt idx="66">
                  <c:v>0.17499999999999999</c:v>
                </c:pt>
                <c:pt idx="67">
                  <c:v>0.17749999999999999</c:v>
                </c:pt>
                <c:pt idx="68">
                  <c:v>0.18</c:v>
                </c:pt>
                <c:pt idx="69">
                  <c:v>0.1825</c:v>
                </c:pt>
                <c:pt idx="70">
                  <c:v>0.185</c:v>
                </c:pt>
                <c:pt idx="71">
                  <c:v>0.1875</c:v>
                </c:pt>
                <c:pt idx="72">
                  <c:v>0.19</c:v>
                </c:pt>
                <c:pt idx="73">
                  <c:v>0.1925</c:v>
                </c:pt>
                <c:pt idx="74">
                  <c:v>0.19500000000000001</c:v>
                </c:pt>
                <c:pt idx="75">
                  <c:v>0.19750000000000001</c:v>
                </c:pt>
                <c:pt idx="76">
                  <c:v>0.2</c:v>
                </c:pt>
                <c:pt idx="77">
                  <c:v>0.20250000000000001</c:v>
                </c:pt>
                <c:pt idx="78">
                  <c:v>0.20499999999999999</c:v>
                </c:pt>
                <c:pt idx="79">
                  <c:v>0.20749999999999999</c:v>
                </c:pt>
                <c:pt idx="80">
                  <c:v>0.21</c:v>
                </c:pt>
                <c:pt idx="81">
                  <c:v>0.21249999999999999</c:v>
                </c:pt>
                <c:pt idx="82">
                  <c:v>0.215</c:v>
                </c:pt>
                <c:pt idx="83">
                  <c:v>0.2175</c:v>
                </c:pt>
                <c:pt idx="84">
                  <c:v>0.22</c:v>
                </c:pt>
                <c:pt idx="85">
                  <c:v>0.2225</c:v>
                </c:pt>
                <c:pt idx="86">
                  <c:v>0.22500000000000001</c:v>
                </c:pt>
                <c:pt idx="87">
                  <c:v>0.22750000000000001</c:v>
                </c:pt>
                <c:pt idx="88">
                  <c:v>0.23</c:v>
                </c:pt>
                <c:pt idx="89">
                  <c:v>0.23250000000000001</c:v>
                </c:pt>
                <c:pt idx="90">
                  <c:v>0.23499999999999999</c:v>
                </c:pt>
                <c:pt idx="91">
                  <c:v>0.23749999999999999</c:v>
                </c:pt>
                <c:pt idx="92">
                  <c:v>0.24</c:v>
                </c:pt>
                <c:pt idx="93">
                  <c:v>0.24249999999999999</c:v>
                </c:pt>
                <c:pt idx="94">
                  <c:v>0.245</c:v>
                </c:pt>
                <c:pt idx="95">
                  <c:v>0.2475</c:v>
                </c:pt>
                <c:pt idx="96">
                  <c:v>0.25</c:v>
                </c:pt>
                <c:pt idx="97">
                  <c:v>0.2525</c:v>
                </c:pt>
                <c:pt idx="98">
                  <c:v>0.255</c:v>
                </c:pt>
                <c:pt idx="99">
                  <c:v>0.25750000000000001</c:v>
                </c:pt>
                <c:pt idx="100">
                  <c:v>0.26</c:v>
                </c:pt>
                <c:pt idx="101">
                  <c:v>0.26250000000000001</c:v>
                </c:pt>
                <c:pt idx="102">
                  <c:v>0.26500000000000001</c:v>
                </c:pt>
                <c:pt idx="103">
                  <c:v>0.26750000000000002</c:v>
                </c:pt>
                <c:pt idx="104">
                  <c:v>0.27</c:v>
                </c:pt>
                <c:pt idx="105">
                  <c:v>0.27250000000000002</c:v>
                </c:pt>
                <c:pt idx="106">
                  <c:v>0.27500000000000002</c:v>
                </c:pt>
                <c:pt idx="107">
                  <c:v>0.27750000000000002</c:v>
                </c:pt>
                <c:pt idx="108">
                  <c:v>0.28000000000000003</c:v>
                </c:pt>
                <c:pt idx="109">
                  <c:v>0.28249999999999997</c:v>
                </c:pt>
                <c:pt idx="110">
                  <c:v>0.28499999999999998</c:v>
                </c:pt>
                <c:pt idx="111">
                  <c:v>0.28749999999999998</c:v>
                </c:pt>
                <c:pt idx="112">
                  <c:v>0.28999999999999998</c:v>
                </c:pt>
                <c:pt idx="113">
                  <c:v>0.29249999999999998</c:v>
                </c:pt>
                <c:pt idx="114">
                  <c:v>0.29499999999999998</c:v>
                </c:pt>
                <c:pt idx="115">
                  <c:v>0.29749999999999999</c:v>
                </c:pt>
                <c:pt idx="116">
                  <c:v>0.3</c:v>
                </c:pt>
                <c:pt idx="117">
                  <c:v>0.30249999999999999</c:v>
                </c:pt>
                <c:pt idx="118">
                  <c:v>0.30499999999999999</c:v>
                </c:pt>
                <c:pt idx="119">
                  <c:v>0.3075</c:v>
                </c:pt>
                <c:pt idx="120">
                  <c:v>0.31</c:v>
                </c:pt>
                <c:pt idx="121">
                  <c:v>0.3125</c:v>
                </c:pt>
                <c:pt idx="122">
                  <c:v>0.315</c:v>
                </c:pt>
                <c:pt idx="123">
                  <c:v>0.3175</c:v>
                </c:pt>
                <c:pt idx="124">
                  <c:v>0.32</c:v>
                </c:pt>
                <c:pt idx="125">
                  <c:v>0.32250000000000001</c:v>
                </c:pt>
                <c:pt idx="126">
                  <c:v>0.32500000000000001</c:v>
                </c:pt>
                <c:pt idx="127">
                  <c:v>0.32750000000000001</c:v>
                </c:pt>
                <c:pt idx="128">
                  <c:v>0.33</c:v>
                </c:pt>
                <c:pt idx="129">
                  <c:v>0.33250000000000002</c:v>
                </c:pt>
                <c:pt idx="130">
                  <c:v>0.33500000000000002</c:v>
                </c:pt>
                <c:pt idx="131">
                  <c:v>0.33750000000000002</c:v>
                </c:pt>
                <c:pt idx="132">
                  <c:v>0.34</c:v>
                </c:pt>
                <c:pt idx="133">
                  <c:v>0.34250000000000003</c:v>
                </c:pt>
                <c:pt idx="134">
                  <c:v>0.34499999999999997</c:v>
                </c:pt>
                <c:pt idx="135">
                  <c:v>0.34749999999999998</c:v>
                </c:pt>
                <c:pt idx="136">
                  <c:v>0.35</c:v>
                </c:pt>
                <c:pt idx="137">
                  <c:v>0.35249999999999998</c:v>
                </c:pt>
                <c:pt idx="138">
                  <c:v>0.35499999999999998</c:v>
                </c:pt>
                <c:pt idx="139">
                  <c:v>0.35749999999999998</c:v>
                </c:pt>
                <c:pt idx="140">
                  <c:v>0.36</c:v>
                </c:pt>
                <c:pt idx="141">
                  <c:v>0.36249999999999999</c:v>
                </c:pt>
                <c:pt idx="142">
                  <c:v>0.36499999999999999</c:v>
                </c:pt>
                <c:pt idx="143">
                  <c:v>0.36749999999999999</c:v>
                </c:pt>
                <c:pt idx="144">
                  <c:v>0.37</c:v>
                </c:pt>
                <c:pt idx="145">
                  <c:v>0.3725</c:v>
                </c:pt>
                <c:pt idx="146">
                  <c:v>0.375</c:v>
                </c:pt>
                <c:pt idx="147">
                  <c:v>0.3775</c:v>
                </c:pt>
                <c:pt idx="148">
                  <c:v>0.38</c:v>
                </c:pt>
                <c:pt idx="149">
                  <c:v>0.38250000000000001</c:v>
                </c:pt>
                <c:pt idx="150">
                  <c:v>0.38500000000000001</c:v>
                </c:pt>
                <c:pt idx="151">
                  <c:v>0.38750000000000001</c:v>
                </c:pt>
                <c:pt idx="152">
                  <c:v>0.39</c:v>
                </c:pt>
                <c:pt idx="153">
                  <c:v>0.39250000000000002</c:v>
                </c:pt>
                <c:pt idx="154">
                  <c:v>0.39500000000000002</c:v>
                </c:pt>
                <c:pt idx="155">
                  <c:v>0.39750000000000002</c:v>
                </c:pt>
                <c:pt idx="156">
                  <c:v>0.4</c:v>
                </c:pt>
              </c:numCache>
            </c:numRef>
          </c:cat>
          <c:val>
            <c:numRef>
              <c:f>'Call Sensitivity'!$C$19:$C$175</c:f>
              <c:numCache>
                <c:formatCode>General</c:formatCode>
                <c:ptCount val="157"/>
                <c:pt idx="0">
                  <c:v>10.743675035266657</c:v>
                </c:pt>
                <c:pt idx="1">
                  <c:v>10.908313469736223</c:v>
                </c:pt>
                <c:pt idx="2">
                  <c:v>11.074236203473047</c:v>
                </c:pt>
                <c:pt idx="3">
                  <c:v>11.241451839266755</c:v>
                </c:pt>
                <c:pt idx="4">
                  <c:v>11.409968964198905</c:v>
                </c:pt>
                <c:pt idx="5">
                  <c:v>11.579796146853704</c:v>
                </c:pt>
                <c:pt idx="6">
                  <c:v>11.750941934503805</c:v>
                </c:pt>
                <c:pt idx="7">
                  <c:v>11.923414850272584</c:v>
                </c:pt>
                <c:pt idx="8">
                  <c:v>12.097223390274403</c:v>
                </c:pt>
                <c:pt idx="9">
                  <c:v>12.272376020734059</c:v>
                </c:pt>
                <c:pt idx="10">
                  <c:v>12.448881175087189</c:v>
                </c:pt>
                <c:pt idx="11">
                  <c:v>12.626747251063303</c:v>
                </c:pt>
                <c:pt idx="12">
                  <c:v>12.805982607752378</c:v>
                </c:pt>
                <c:pt idx="13">
                  <c:v>12.986595562657378</c:v>
                </c:pt>
                <c:pt idx="14">
                  <c:v>13.168594388733565</c:v>
                </c:pt>
                <c:pt idx="15">
                  <c:v>13.351987311416929</c:v>
                </c:pt>
                <c:pt idx="16">
                  <c:v>13.536782505642542</c:v>
                </c:pt>
                <c:pt idx="17">
                  <c:v>13.722988092855456</c:v>
                </c:pt>
                <c:pt idx="18">
                  <c:v>13.910612138014812</c:v>
                </c:pt>
                <c:pt idx="19">
                  <c:v>14.099662646593751</c:v>
                </c:pt>
                <c:pt idx="20">
                  <c:v>14.290147561576219</c:v>
                </c:pt>
                <c:pt idx="21">
                  <c:v>14.482074760452463</c:v>
                </c:pt>
                <c:pt idx="22">
                  <c:v>14.675452052215482</c:v>
                </c:pt>
                <c:pt idx="23">
                  <c:v>14.870287174359246</c:v>
                </c:pt>
                <c:pt idx="24">
                  <c:v>15.066587789881357</c:v>
                </c:pt>
                <c:pt idx="25">
                  <c:v>15.264361484291262</c:v>
                </c:pt>
                <c:pt idx="26">
                  <c:v>15.463615762626141</c:v>
                </c:pt>
                <c:pt idx="27">
                  <c:v>15.66435804647606</c:v>
                </c:pt>
                <c:pt idx="28">
                  <c:v>15.866595671020265</c:v>
                </c:pt>
                <c:pt idx="29">
                  <c:v>16.070335882076279</c:v>
                </c:pt>
                <c:pt idx="30">
                  <c:v>16.275585833163792</c:v>
                </c:pt>
                <c:pt idx="31">
                  <c:v>16.482352582584955</c:v>
                </c:pt>
                <c:pt idx="32">
                  <c:v>16.690643090522805</c:v>
                </c:pt>
                <c:pt idx="33">
                  <c:v>16.900464216159868</c:v>
                </c:pt>
                <c:pt idx="34">
                  <c:v>17.111822714818455</c:v>
                </c:pt>
                <c:pt idx="35">
                  <c:v>17.324725235124454</c:v>
                </c:pt>
                <c:pt idx="36">
                  <c:v>17.539178316196693</c:v>
                </c:pt>
                <c:pt idx="37">
                  <c:v>17.755188384863086</c:v>
                </c:pt>
                <c:pt idx="38">
                  <c:v>17.972761752905864</c:v>
                </c:pt>
                <c:pt idx="39">
                  <c:v>18.191904614337204</c:v>
                </c:pt>
                <c:pt idx="40">
                  <c:v>18.412623042707402</c:v>
                </c:pt>
                <c:pt idx="41">
                  <c:v>18.634922988446707</c:v>
                </c:pt>
                <c:pt idx="42">
                  <c:v>18.858810276243343</c:v>
                </c:pt>
                <c:pt idx="43">
                  <c:v>19.08429060245847</c:v>
                </c:pt>
                <c:pt idx="44">
                  <c:v>19.311369532580684</c:v>
                </c:pt>
                <c:pt idx="45">
                  <c:v>19.540052498720847</c:v>
                </c:pt>
                <c:pt idx="46">
                  <c:v>19.770344797149587</c:v>
                </c:pt>
                <c:pt idx="47">
                  <c:v>20.002251585878607</c:v>
                </c:pt>
                <c:pt idx="48">
                  <c:v>20.235777882287689</c:v>
                </c:pt>
                <c:pt idx="49">
                  <c:v>20.470928560798715</c:v>
                </c:pt>
                <c:pt idx="50">
                  <c:v>20.707708350598399</c:v>
                </c:pt>
                <c:pt idx="51">
                  <c:v>20.946121833411294</c:v>
                </c:pt>
                <c:pt idx="52">
                  <c:v>21.186173441324446</c:v>
                </c:pt>
                <c:pt idx="53">
                  <c:v>21.427867454665076</c:v>
                </c:pt>
                <c:pt idx="54">
                  <c:v>21.671207999933046</c:v>
                </c:pt>
                <c:pt idx="55">
                  <c:v>21.91619904778916</c:v>
                </c:pt>
                <c:pt idx="56">
                  <c:v>22.162844411100842</c:v>
                </c:pt>
                <c:pt idx="57">
                  <c:v>22.411147743046588</c:v>
                </c:pt>
                <c:pt idx="58">
                  <c:v>22.661112535280203</c:v>
                </c:pt>
                <c:pt idx="59">
                  <c:v>22.912742116156668</c:v>
                </c:pt>
                <c:pt idx="60">
                  <c:v>23.166039649020039</c:v>
                </c:pt>
                <c:pt idx="61">
                  <c:v>23.421008130555375</c:v>
                </c:pt>
                <c:pt idx="62">
                  <c:v>23.677650389205443</c:v>
                </c:pt>
                <c:pt idx="63">
                  <c:v>23.935969083653369</c:v>
                </c:pt>
                <c:pt idx="64">
                  <c:v>24.195966701372239</c:v>
                </c:pt>
                <c:pt idx="65">
                  <c:v>24.457645557243037</c:v>
                </c:pt>
                <c:pt idx="66">
                  <c:v>24.721007792241462</c:v>
                </c:pt>
                <c:pt idx="67">
                  <c:v>24.986055372194844</c:v>
                </c:pt>
                <c:pt idx="68">
                  <c:v>25.252790086610126</c:v>
                </c:pt>
                <c:pt idx="69">
                  <c:v>25.521213547573549</c:v>
                </c:pt>
                <c:pt idx="70">
                  <c:v>25.791327188723116</c:v>
                </c:pt>
                <c:pt idx="71">
                  <c:v>26.063132264294367</c:v>
                </c:pt>
                <c:pt idx="72">
                  <c:v>26.336629848240516</c:v>
                </c:pt>
                <c:pt idx="73">
                  <c:v>26.611820833427316</c:v>
                </c:pt>
                <c:pt idx="74">
                  <c:v>26.888705930903441</c:v>
                </c:pt>
                <c:pt idx="75">
                  <c:v>27.167285669247189</c:v>
                </c:pt>
                <c:pt idx="76">
                  <c:v>27.447560393989541</c:v>
                </c:pt>
                <c:pt idx="77">
                  <c:v>27.729530267114622</c:v>
                </c:pt>
                <c:pt idx="78">
                  <c:v>28.01319526663773</c:v>
                </c:pt>
                <c:pt idx="79">
                  <c:v>28.298555186261286</c:v>
                </c:pt>
                <c:pt idx="80">
                  <c:v>28.585609635109382</c:v>
                </c:pt>
                <c:pt idx="81">
                  <c:v>28.874358037540748</c:v>
                </c:pt>
                <c:pt idx="82">
                  <c:v>29.164799633040925</c:v>
                </c:pt>
                <c:pt idx="83">
                  <c:v>29.456933476193473</c:v>
                </c:pt>
                <c:pt idx="84">
                  <c:v>29.750758436730365</c:v>
                </c:pt>
                <c:pt idx="85">
                  <c:v>30.046273199662124</c:v>
                </c:pt>
                <c:pt idx="86">
                  <c:v>30.343476265487112</c:v>
                </c:pt>
                <c:pt idx="87">
                  <c:v>30.642365950480581</c:v>
                </c:pt>
                <c:pt idx="88">
                  <c:v>30.942940387062837</c:v>
                </c:pt>
                <c:pt idx="89">
                  <c:v>31.245197524247288</c:v>
                </c:pt>
                <c:pt idx="90">
                  <c:v>31.549135128167016</c:v>
                </c:pt>
                <c:pt idx="91">
                  <c:v>31.85475078268102</c:v>
                </c:pt>
                <c:pt idx="92">
                  <c:v>32.162041890058866</c:v>
                </c:pt>
                <c:pt idx="93">
                  <c:v>32.471005671743939</c:v>
                </c:pt>
                <c:pt idx="94">
                  <c:v>32.781639169194854</c:v>
                </c:pt>
                <c:pt idx="95">
                  <c:v>33.093939244804687</c:v>
                </c:pt>
                <c:pt idx="96">
                  <c:v>33.407902582897435</c:v>
                </c:pt>
                <c:pt idx="97">
                  <c:v>33.723525690801374</c:v>
                </c:pt>
                <c:pt idx="98">
                  <c:v>34.040804899998939</c:v>
                </c:pt>
                <c:pt idx="99">
                  <c:v>34.359736367351914</c:v>
                </c:pt>
                <c:pt idx="100">
                  <c:v>34.680316076402242</c:v>
                </c:pt>
                <c:pt idx="101">
                  <c:v>35.00253983874692</c:v>
                </c:pt>
                <c:pt idx="102">
                  <c:v>35.326403295486884</c:v>
                </c:pt>
                <c:pt idx="103">
                  <c:v>35.651901918748678</c:v>
                </c:pt>
                <c:pt idx="104">
                  <c:v>35.979031013278494</c:v>
                </c:pt>
                <c:pt idx="105">
                  <c:v>36.307785718107354</c:v>
                </c:pt>
                <c:pt idx="106">
                  <c:v>36.638161008287064</c:v>
                </c:pt>
                <c:pt idx="107">
                  <c:v>36.970151696695062</c:v>
                </c:pt>
                <c:pt idx="108">
                  <c:v>37.303752435908599</c:v>
                </c:pt>
                <c:pt idx="109">
                  <c:v>37.638957720145818</c:v>
                </c:pt>
                <c:pt idx="110">
                  <c:v>37.975761887273734</c:v>
                </c:pt>
                <c:pt idx="111">
                  <c:v>38.314159120881143</c:v>
                </c:pt>
                <c:pt idx="112">
                  <c:v>38.654143452416321</c:v>
                </c:pt>
                <c:pt idx="113">
                  <c:v>38.995708763387412</c:v>
                </c:pt>
                <c:pt idx="114">
                  <c:v>39.338848787624855</c:v>
                </c:pt>
                <c:pt idx="115">
                  <c:v>39.683557113604564</c:v>
                </c:pt>
                <c:pt idx="116">
                  <c:v>40.029827186830197</c:v>
                </c:pt>
                <c:pt idx="117">
                  <c:v>40.377652312273888</c:v>
                </c:pt>
                <c:pt idx="118">
                  <c:v>40.727025656873373</c:v>
                </c:pt>
                <c:pt idx="119">
                  <c:v>41.077940252084723</c:v>
                </c:pt>
                <c:pt idx="120">
                  <c:v>41.430388996488993</c:v>
                </c:pt>
                <c:pt idx="121">
                  <c:v>41.784364658451345</c:v>
                </c:pt>
                <c:pt idx="122">
                  <c:v>42.139859878831452</c:v>
                </c:pt>
                <c:pt idx="123">
                  <c:v>42.49686717374334</c:v>
                </c:pt>
                <c:pt idx="124">
                  <c:v>42.855378937363483</c:v>
                </c:pt>
                <c:pt idx="125">
                  <c:v>43.215387444785378</c:v>
                </c:pt>
                <c:pt idx="126">
                  <c:v>43.57688485491942</c:v>
                </c:pt>
                <c:pt idx="127">
                  <c:v>43.939863213435764</c:v>
                </c:pt>
                <c:pt idx="128">
                  <c:v>44.304314455749683</c:v>
                </c:pt>
                <c:pt idx="129">
                  <c:v>44.670230410046521</c:v>
                </c:pt>
                <c:pt idx="130">
                  <c:v>45.037602800345972</c:v>
                </c:pt>
                <c:pt idx="131">
                  <c:v>45.406423249602767</c:v>
                </c:pt>
                <c:pt idx="132">
                  <c:v>45.776683282842917</c:v>
                </c:pt>
                <c:pt idx="133">
                  <c:v>46.148374330333638</c:v>
                </c:pt>
                <c:pt idx="134">
                  <c:v>46.521487730785289</c:v>
                </c:pt>
                <c:pt idx="135">
                  <c:v>46.896014734583218</c:v>
                </c:pt>
                <c:pt idx="136">
                  <c:v>47.271946507048597</c:v>
                </c:pt>
                <c:pt idx="137">
                  <c:v>47.649274131725655</c:v>
                </c:pt>
                <c:pt idx="138">
                  <c:v>48.027988613694305</c:v>
                </c:pt>
                <c:pt idx="139">
                  <c:v>48.408080882905928</c:v>
                </c:pt>
                <c:pt idx="140">
                  <c:v>48.789541797540913</c:v>
                </c:pt>
                <c:pt idx="141">
                  <c:v>49.172362147385762</c:v>
                </c:pt>
                <c:pt idx="142">
                  <c:v>49.556532657228587</c:v>
                </c:pt>
                <c:pt idx="143">
                  <c:v>49.942043990270868</c:v>
                </c:pt>
                <c:pt idx="144">
                  <c:v>50.328886751553647</c:v>
                </c:pt>
                <c:pt idx="145">
                  <c:v>50.717051491396681</c:v>
                </c:pt>
                <c:pt idx="146">
                  <c:v>51.106528708848813</c:v>
                </c:pt>
                <c:pt idx="147">
                  <c:v>51.49730885514731</c:v>
                </c:pt>
                <c:pt idx="148">
                  <c:v>51.88938233718509</c:v>
                </c:pt>
                <c:pt idx="149">
                  <c:v>52.282739520983647</c:v>
                </c:pt>
                <c:pt idx="150">
                  <c:v>52.67737073517025</c:v>
                </c:pt>
                <c:pt idx="151">
                  <c:v>53.073266274457175</c:v>
                </c:pt>
                <c:pt idx="152">
                  <c:v>53.470416403121945</c:v>
                </c:pt>
                <c:pt idx="153">
                  <c:v>53.868811358486411</c:v>
                </c:pt>
                <c:pt idx="154">
                  <c:v>54.268441354392948</c:v>
                </c:pt>
                <c:pt idx="155">
                  <c:v>54.669296584676516</c:v>
                </c:pt>
                <c:pt idx="156">
                  <c:v>55.07136722663023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87-1B4B-9735-10A4BDE4947F}"/>
            </c:ext>
          </c:extLst>
        </c:ser>
        <c:ser>
          <c:idx val="1"/>
          <c:order val="1"/>
          <c:tx>
            <c:strRef>
              <c:f>'Call Sensitivity'!$D$18</c:f>
              <c:strCache>
                <c:ptCount val="1"/>
                <c:pt idx="0">
                  <c:v>BSM Call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'Call Sensitivity'!$B$19:$B$175</c:f>
              <c:numCache>
                <c:formatCode>General</c:formatCode>
                <c:ptCount val="157"/>
                <c:pt idx="0">
                  <c:v>0.01</c:v>
                </c:pt>
                <c:pt idx="1">
                  <c:v>1.2500000000000001E-2</c:v>
                </c:pt>
                <c:pt idx="2">
                  <c:v>1.4999999999999999E-2</c:v>
                </c:pt>
                <c:pt idx="3">
                  <c:v>1.7500000000000002E-2</c:v>
                </c:pt>
                <c:pt idx="4">
                  <c:v>0.02</c:v>
                </c:pt>
                <c:pt idx="5">
                  <c:v>2.2499999999999999E-2</c:v>
                </c:pt>
                <c:pt idx="6">
                  <c:v>2.5000000000000001E-2</c:v>
                </c:pt>
                <c:pt idx="7">
                  <c:v>2.75E-2</c:v>
                </c:pt>
                <c:pt idx="8">
                  <c:v>0.03</c:v>
                </c:pt>
                <c:pt idx="9">
                  <c:v>3.2500000000000001E-2</c:v>
                </c:pt>
                <c:pt idx="10">
                  <c:v>3.5000000000000003E-2</c:v>
                </c:pt>
                <c:pt idx="11">
                  <c:v>3.7499999999999999E-2</c:v>
                </c:pt>
                <c:pt idx="12">
                  <c:v>0.04</c:v>
                </c:pt>
                <c:pt idx="13">
                  <c:v>4.2500000000000003E-2</c:v>
                </c:pt>
                <c:pt idx="14">
                  <c:v>4.4999999999999998E-2</c:v>
                </c:pt>
                <c:pt idx="15">
                  <c:v>4.7500000000000001E-2</c:v>
                </c:pt>
                <c:pt idx="16">
                  <c:v>0.05</c:v>
                </c:pt>
                <c:pt idx="17">
                  <c:v>5.2499999999999998E-2</c:v>
                </c:pt>
                <c:pt idx="18">
                  <c:v>5.5E-2</c:v>
                </c:pt>
                <c:pt idx="19">
                  <c:v>5.7500000000000002E-2</c:v>
                </c:pt>
                <c:pt idx="20">
                  <c:v>0.06</c:v>
                </c:pt>
                <c:pt idx="21">
                  <c:v>6.25E-2</c:v>
                </c:pt>
                <c:pt idx="22">
                  <c:v>6.5000000000000002E-2</c:v>
                </c:pt>
                <c:pt idx="23">
                  <c:v>6.7500000000000004E-2</c:v>
                </c:pt>
                <c:pt idx="24">
                  <c:v>7.0000000000000007E-2</c:v>
                </c:pt>
                <c:pt idx="25">
                  <c:v>7.2499999999999995E-2</c:v>
                </c:pt>
                <c:pt idx="26">
                  <c:v>7.4999999999999997E-2</c:v>
                </c:pt>
                <c:pt idx="27">
                  <c:v>7.7499999999999999E-2</c:v>
                </c:pt>
                <c:pt idx="28">
                  <c:v>0.08</c:v>
                </c:pt>
                <c:pt idx="29">
                  <c:v>8.2500000000000004E-2</c:v>
                </c:pt>
                <c:pt idx="30">
                  <c:v>8.5000000000000006E-2</c:v>
                </c:pt>
                <c:pt idx="31">
                  <c:v>8.7499999999999994E-2</c:v>
                </c:pt>
                <c:pt idx="32">
                  <c:v>0.09</c:v>
                </c:pt>
                <c:pt idx="33">
                  <c:v>9.2499999999999999E-2</c:v>
                </c:pt>
                <c:pt idx="34">
                  <c:v>9.5000000000000001E-2</c:v>
                </c:pt>
                <c:pt idx="35">
                  <c:v>9.7500000000000003E-2</c:v>
                </c:pt>
                <c:pt idx="36">
                  <c:v>0.1</c:v>
                </c:pt>
                <c:pt idx="37">
                  <c:v>0.10249999999999999</c:v>
                </c:pt>
                <c:pt idx="38">
                  <c:v>0.105</c:v>
                </c:pt>
                <c:pt idx="39">
                  <c:v>0.1075</c:v>
                </c:pt>
                <c:pt idx="40">
                  <c:v>0.11</c:v>
                </c:pt>
                <c:pt idx="41">
                  <c:v>0.1125</c:v>
                </c:pt>
                <c:pt idx="42">
                  <c:v>0.115</c:v>
                </c:pt>
                <c:pt idx="43">
                  <c:v>0.11749999999999999</c:v>
                </c:pt>
                <c:pt idx="44">
                  <c:v>0.12</c:v>
                </c:pt>
                <c:pt idx="45">
                  <c:v>0.1225</c:v>
                </c:pt>
                <c:pt idx="46">
                  <c:v>0.125</c:v>
                </c:pt>
                <c:pt idx="47">
                  <c:v>0.1275</c:v>
                </c:pt>
                <c:pt idx="48">
                  <c:v>0.13</c:v>
                </c:pt>
                <c:pt idx="49">
                  <c:v>0.13250000000000001</c:v>
                </c:pt>
                <c:pt idx="50">
                  <c:v>0.13500000000000001</c:v>
                </c:pt>
                <c:pt idx="51">
                  <c:v>0.13750000000000001</c:v>
                </c:pt>
                <c:pt idx="52">
                  <c:v>0.14000000000000001</c:v>
                </c:pt>
                <c:pt idx="53">
                  <c:v>0.14249999999999999</c:v>
                </c:pt>
                <c:pt idx="54">
                  <c:v>0.14499999999999999</c:v>
                </c:pt>
                <c:pt idx="55">
                  <c:v>0.14749999999999999</c:v>
                </c:pt>
                <c:pt idx="56">
                  <c:v>0.15</c:v>
                </c:pt>
                <c:pt idx="57">
                  <c:v>0.1525</c:v>
                </c:pt>
                <c:pt idx="58">
                  <c:v>0.155</c:v>
                </c:pt>
                <c:pt idx="59">
                  <c:v>0.1575</c:v>
                </c:pt>
                <c:pt idx="60">
                  <c:v>0.16</c:v>
                </c:pt>
                <c:pt idx="61">
                  <c:v>0.16250000000000001</c:v>
                </c:pt>
                <c:pt idx="62">
                  <c:v>0.16500000000000001</c:v>
                </c:pt>
                <c:pt idx="63">
                  <c:v>0.16750000000000001</c:v>
                </c:pt>
                <c:pt idx="64">
                  <c:v>0.17</c:v>
                </c:pt>
                <c:pt idx="65">
                  <c:v>0.17249999999999999</c:v>
                </c:pt>
                <c:pt idx="66">
                  <c:v>0.17499999999999999</c:v>
                </c:pt>
                <c:pt idx="67">
                  <c:v>0.17749999999999999</c:v>
                </c:pt>
                <c:pt idx="68">
                  <c:v>0.18</c:v>
                </c:pt>
                <c:pt idx="69">
                  <c:v>0.1825</c:v>
                </c:pt>
                <c:pt idx="70">
                  <c:v>0.185</c:v>
                </c:pt>
                <c:pt idx="71">
                  <c:v>0.1875</c:v>
                </c:pt>
                <c:pt idx="72">
                  <c:v>0.19</c:v>
                </c:pt>
                <c:pt idx="73">
                  <c:v>0.1925</c:v>
                </c:pt>
                <c:pt idx="74">
                  <c:v>0.19500000000000001</c:v>
                </c:pt>
                <c:pt idx="75">
                  <c:v>0.19750000000000001</c:v>
                </c:pt>
                <c:pt idx="76">
                  <c:v>0.2</c:v>
                </c:pt>
                <c:pt idx="77">
                  <c:v>0.20250000000000001</c:v>
                </c:pt>
                <c:pt idx="78">
                  <c:v>0.20499999999999999</c:v>
                </c:pt>
                <c:pt idx="79">
                  <c:v>0.20749999999999999</c:v>
                </c:pt>
                <c:pt idx="80">
                  <c:v>0.21</c:v>
                </c:pt>
                <c:pt idx="81">
                  <c:v>0.21249999999999999</c:v>
                </c:pt>
                <c:pt idx="82">
                  <c:v>0.215</c:v>
                </c:pt>
                <c:pt idx="83">
                  <c:v>0.2175</c:v>
                </c:pt>
                <c:pt idx="84">
                  <c:v>0.22</c:v>
                </c:pt>
                <c:pt idx="85">
                  <c:v>0.2225</c:v>
                </c:pt>
                <c:pt idx="86">
                  <c:v>0.22500000000000001</c:v>
                </c:pt>
                <c:pt idx="87">
                  <c:v>0.22750000000000001</c:v>
                </c:pt>
                <c:pt idx="88">
                  <c:v>0.23</c:v>
                </c:pt>
                <c:pt idx="89">
                  <c:v>0.23250000000000001</c:v>
                </c:pt>
                <c:pt idx="90">
                  <c:v>0.23499999999999999</c:v>
                </c:pt>
                <c:pt idx="91">
                  <c:v>0.23749999999999999</c:v>
                </c:pt>
                <c:pt idx="92">
                  <c:v>0.24</c:v>
                </c:pt>
                <c:pt idx="93">
                  <c:v>0.24249999999999999</c:v>
                </c:pt>
                <c:pt idx="94">
                  <c:v>0.245</c:v>
                </c:pt>
                <c:pt idx="95">
                  <c:v>0.2475</c:v>
                </c:pt>
                <c:pt idx="96">
                  <c:v>0.25</c:v>
                </c:pt>
                <c:pt idx="97">
                  <c:v>0.2525</c:v>
                </c:pt>
                <c:pt idx="98">
                  <c:v>0.255</c:v>
                </c:pt>
                <c:pt idx="99">
                  <c:v>0.25750000000000001</c:v>
                </c:pt>
                <c:pt idx="100">
                  <c:v>0.26</c:v>
                </c:pt>
                <c:pt idx="101">
                  <c:v>0.26250000000000001</c:v>
                </c:pt>
                <c:pt idx="102">
                  <c:v>0.26500000000000001</c:v>
                </c:pt>
                <c:pt idx="103">
                  <c:v>0.26750000000000002</c:v>
                </c:pt>
                <c:pt idx="104">
                  <c:v>0.27</c:v>
                </c:pt>
                <c:pt idx="105">
                  <c:v>0.27250000000000002</c:v>
                </c:pt>
                <c:pt idx="106">
                  <c:v>0.27500000000000002</c:v>
                </c:pt>
                <c:pt idx="107">
                  <c:v>0.27750000000000002</c:v>
                </c:pt>
                <c:pt idx="108">
                  <c:v>0.28000000000000003</c:v>
                </c:pt>
                <c:pt idx="109">
                  <c:v>0.28249999999999997</c:v>
                </c:pt>
                <c:pt idx="110">
                  <c:v>0.28499999999999998</c:v>
                </c:pt>
                <c:pt idx="111">
                  <c:v>0.28749999999999998</c:v>
                </c:pt>
                <c:pt idx="112">
                  <c:v>0.28999999999999998</c:v>
                </c:pt>
                <c:pt idx="113">
                  <c:v>0.29249999999999998</c:v>
                </c:pt>
                <c:pt idx="114">
                  <c:v>0.29499999999999998</c:v>
                </c:pt>
                <c:pt idx="115">
                  <c:v>0.29749999999999999</c:v>
                </c:pt>
                <c:pt idx="116">
                  <c:v>0.3</c:v>
                </c:pt>
                <c:pt idx="117">
                  <c:v>0.30249999999999999</c:v>
                </c:pt>
                <c:pt idx="118">
                  <c:v>0.30499999999999999</c:v>
                </c:pt>
                <c:pt idx="119">
                  <c:v>0.3075</c:v>
                </c:pt>
                <c:pt idx="120">
                  <c:v>0.31</c:v>
                </c:pt>
                <c:pt idx="121">
                  <c:v>0.3125</c:v>
                </c:pt>
                <c:pt idx="122">
                  <c:v>0.315</c:v>
                </c:pt>
                <c:pt idx="123">
                  <c:v>0.3175</c:v>
                </c:pt>
                <c:pt idx="124">
                  <c:v>0.32</c:v>
                </c:pt>
                <c:pt idx="125">
                  <c:v>0.32250000000000001</c:v>
                </c:pt>
                <c:pt idx="126">
                  <c:v>0.32500000000000001</c:v>
                </c:pt>
                <c:pt idx="127">
                  <c:v>0.32750000000000001</c:v>
                </c:pt>
                <c:pt idx="128">
                  <c:v>0.33</c:v>
                </c:pt>
                <c:pt idx="129">
                  <c:v>0.33250000000000002</c:v>
                </c:pt>
                <c:pt idx="130">
                  <c:v>0.33500000000000002</c:v>
                </c:pt>
                <c:pt idx="131">
                  <c:v>0.33750000000000002</c:v>
                </c:pt>
                <c:pt idx="132">
                  <c:v>0.34</c:v>
                </c:pt>
                <c:pt idx="133">
                  <c:v>0.34250000000000003</c:v>
                </c:pt>
                <c:pt idx="134">
                  <c:v>0.34499999999999997</c:v>
                </c:pt>
                <c:pt idx="135">
                  <c:v>0.34749999999999998</c:v>
                </c:pt>
                <c:pt idx="136">
                  <c:v>0.35</c:v>
                </c:pt>
                <c:pt idx="137">
                  <c:v>0.35249999999999998</c:v>
                </c:pt>
                <c:pt idx="138">
                  <c:v>0.35499999999999998</c:v>
                </c:pt>
                <c:pt idx="139">
                  <c:v>0.35749999999999998</c:v>
                </c:pt>
                <c:pt idx="140">
                  <c:v>0.36</c:v>
                </c:pt>
                <c:pt idx="141">
                  <c:v>0.36249999999999999</c:v>
                </c:pt>
                <c:pt idx="142">
                  <c:v>0.36499999999999999</c:v>
                </c:pt>
                <c:pt idx="143">
                  <c:v>0.36749999999999999</c:v>
                </c:pt>
                <c:pt idx="144">
                  <c:v>0.37</c:v>
                </c:pt>
                <c:pt idx="145">
                  <c:v>0.3725</c:v>
                </c:pt>
                <c:pt idx="146">
                  <c:v>0.375</c:v>
                </c:pt>
                <c:pt idx="147">
                  <c:v>0.3775</c:v>
                </c:pt>
                <c:pt idx="148">
                  <c:v>0.38</c:v>
                </c:pt>
                <c:pt idx="149">
                  <c:v>0.38250000000000001</c:v>
                </c:pt>
                <c:pt idx="150">
                  <c:v>0.38500000000000001</c:v>
                </c:pt>
                <c:pt idx="151">
                  <c:v>0.38750000000000001</c:v>
                </c:pt>
                <c:pt idx="152">
                  <c:v>0.39</c:v>
                </c:pt>
                <c:pt idx="153">
                  <c:v>0.39250000000000002</c:v>
                </c:pt>
                <c:pt idx="154">
                  <c:v>0.39500000000000002</c:v>
                </c:pt>
                <c:pt idx="155">
                  <c:v>0.39750000000000002</c:v>
                </c:pt>
                <c:pt idx="156">
                  <c:v>0.4</c:v>
                </c:pt>
              </c:numCache>
            </c:numRef>
          </c:cat>
          <c:val>
            <c:numRef>
              <c:f>'Call Sensitivity'!$D$19:$D$175</c:f>
              <c:numCache>
                <c:formatCode>General</c:formatCode>
                <c:ptCount val="157"/>
                <c:pt idx="0">
                  <c:v>18.711279045653235</c:v>
                </c:pt>
                <c:pt idx="1">
                  <c:v>18.854976210186173</c:v>
                </c:pt>
                <c:pt idx="2">
                  <c:v>18.99911658455963</c:v>
                </c:pt>
                <c:pt idx="3">
                  <c:v>19.143695637358341</c:v>
                </c:pt>
                <c:pt idx="4">
                  <c:v>19.288708807888682</c:v>
                </c:pt>
                <c:pt idx="5">
                  <c:v>19.434151506908002</c:v>
                </c:pt>
                <c:pt idx="6">
                  <c:v>19.580019117357921</c:v>
                </c:pt>
                <c:pt idx="7">
                  <c:v>19.726306995100643</c:v>
                </c:pt>
                <c:pt idx="8">
                  <c:v>19.873010469658759</c:v>
                </c:pt>
                <c:pt idx="9">
                  <c:v>20.020124844957735</c:v>
                </c:pt>
                <c:pt idx="10">
                  <c:v>20.167645400071393</c:v>
                </c:pt>
                <c:pt idx="11">
                  <c:v>20.315567389969736</c:v>
                </c:pt>
                <c:pt idx="12">
                  <c:v>20.463886046269224</c:v>
                </c:pt>
                <c:pt idx="13">
                  <c:v>20.612596577984931</c:v>
                </c:pt>
                <c:pt idx="14">
                  <c:v>20.761694172284813</c:v>
                </c:pt>
                <c:pt idx="15">
                  <c:v>20.911173995245541</c:v>
                </c:pt>
                <c:pt idx="16">
                  <c:v>21.061031192609683</c:v>
                </c:pt>
                <c:pt idx="17">
                  <c:v>21.211260890544203</c:v>
                </c:pt>
                <c:pt idx="18">
                  <c:v>21.361858196400028</c:v>
                </c:pt>
                <c:pt idx="19">
                  <c:v>21.512818199472271</c:v>
                </c:pt>
                <c:pt idx="20">
                  <c:v>21.66413597176107</c:v>
                </c:pt>
                <c:pt idx="21">
                  <c:v>21.815806568732945</c:v>
                </c:pt>
                <c:pt idx="22">
                  <c:v>21.967825030082075</c:v>
                </c:pt>
                <c:pt idx="23">
                  <c:v>22.12018638049171</c:v>
                </c:pt>
                <c:pt idx="24">
                  <c:v>22.272885630395187</c:v>
                </c:pt>
                <c:pt idx="25">
                  <c:v>22.425917776736583</c:v>
                </c:pt>
                <c:pt idx="26">
                  <c:v>22.579277803730612</c:v>
                </c:pt>
                <c:pt idx="27">
                  <c:v>22.732960683621599</c:v>
                </c:pt>
                <c:pt idx="28">
                  <c:v>22.886961377441544</c:v>
                </c:pt>
                <c:pt idx="29">
                  <c:v>23.041274835766622</c:v>
                </c:pt>
                <c:pt idx="30">
                  <c:v>23.195895999472377</c:v>
                </c:pt>
                <c:pt idx="31">
                  <c:v>23.350819800487187</c:v>
                </c:pt>
                <c:pt idx="32">
                  <c:v>23.50604116254376</c:v>
                </c:pt>
                <c:pt idx="33">
                  <c:v>23.661555001928591</c:v>
                </c:pt>
                <c:pt idx="34">
                  <c:v>23.81735622822913</c:v>
                </c:pt>
                <c:pt idx="35">
                  <c:v>23.973439745078458</c:v>
                </c:pt>
                <c:pt idx="36">
                  <c:v>24.129800450897115</c:v>
                </c:pt>
                <c:pt idx="37">
                  <c:v>24.28643323963253</c:v>
                </c:pt>
                <c:pt idx="38">
                  <c:v>24.443333001494864</c:v>
                </c:pt>
                <c:pt idx="39">
                  <c:v>24.600494623689848</c:v>
                </c:pt>
                <c:pt idx="40">
                  <c:v>24.75791299114838</c:v>
                </c:pt>
                <c:pt idx="41">
                  <c:v>24.915582987252122</c:v>
                </c:pt>
                <c:pt idx="42">
                  <c:v>25.073499494555669</c:v>
                </c:pt>
                <c:pt idx="43">
                  <c:v>25.231657395504598</c:v>
                </c:pt>
                <c:pt idx="44">
                  <c:v>25.390051573149364</c:v>
                </c:pt>
                <c:pt idx="45">
                  <c:v>25.548676911855068</c:v>
                </c:pt>
                <c:pt idx="46">
                  <c:v>25.707528298006537</c:v>
                </c:pt>
                <c:pt idx="47">
                  <c:v>25.866600620708958</c:v>
                </c:pt>
                <c:pt idx="48">
                  <c:v>26.02588877248354</c:v>
                </c:pt>
                <c:pt idx="49">
                  <c:v>26.185387649958393</c:v>
                </c:pt>
                <c:pt idx="50">
                  <c:v>26.345092154554223</c:v>
                </c:pt>
                <c:pt idx="51">
                  <c:v>26.504997193164684</c:v>
                </c:pt>
                <c:pt idx="52">
                  <c:v>26.665097678831387</c:v>
                </c:pt>
                <c:pt idx="53">
                  <c:v>26.825388531413424</c:v>
                </c:pt>
                <c:pt idx="54">
                  <c:v>26.985864678251005</c:v>
                </c:pt>
                <c:pt idx="55">
                  <c:v>27.146521054823282</c:v>
                </c:pt>
                <c:pt idx="56">
                  <c:v>27.307352605400368</c:v>
                </c:pt>
                <c:pt idx="57">
                  <c:v>27.468354283688811</c:v>
                </c:pt>
                <c:pt idx="58">
                  <c:v>27.629521053471322</c:v>
                </c:pt>
                <c:pt idx="59">
                  <c:v>27.790847889239686</c:v>
                </c:pt>
                <c:pt idx="60">
                  <c:v>27.952329776821372</c:v>
                </c:pt>
                <c:pt idx="61">
                  <c:v>28.113961713999259</c:v>
                </c:pt>
                <c:pt idx="62">
                  <c:v>28.275738711125044</c:v>
                </c:pt>
                <c:pt idx="63">
                  <c:v>28.437655791725206</c:v>
                </c:pt>
                <c:pt idx="64">
                  <c:v>28.599707993100338</c:v>
                </c:pt>
                <c:pt idx="65">
                  <c:v>28.761890366917314</c:v>
                </c:pt>
                <c:pt idx="66">
                  <c:v>28.924197979794044</c:v>
                </c:pt>
                <c:pt idx="67">
                  <c:v>29.086625913877157</c:v>
                </c:pt>
                <c:pt idx="68">
                  <c:v>29.249169267412043</c:v>
                </c:pt>
                <c:pt idx="69">
                  <c:v>29.411823155305626</c:v>
                </c:pt>
                <c:pt idx="70">
                  <c:v>29.574582709681138</c:v>
                </c:pt>
                <c:pt idx="71">
                  <c:v>29.737443080425521</c:v>
                </c:pt>
                <c:pt idx="72">
                  <c:v>29.900399435728943</c:v>
                </c:pt>
                <c:pt idx="73">
                  <c:v>30.063446962616254</c:v>
                </c:pt>
                <c:pt idx="74">
                  <c:v>30.226580867470801</c:v>
                </c:pt>
                <c:pt idx="75">
                  <c:v>30.389796376549839</c:v>
                </c:pt>
                <c:pt idx="76">
                  <c:v>30.553088736492157</c:v>
                </c:pt>
                <c:pt idx="77">
                  <c:v>30.716453214817321</c:v>
                </c:pt>
                <c:pt idx="78">
                  <c:v>30.879885100416615</c:v>
                </c:pt>
                <c:pt idx="79">
                  <c:v>31.043379704035871</c:v>
                </c:pt>
                <c:pt idx="80">
                  <c:v>31.206932358749825</c:v>
                </c:pt>
                <c:pt idx="81">
                  <c:v>31.370538420427906</c:v>
                </c:pt>
                <c:pt idx="82">
                  <c:v>31.534193268191743</c:v>
                </c:pt>
                <c:pt idx="83">
                  <c:v>31.697892304864013</c:v>
                </c:pt>
                <c:pt idx="84">
                  <c:v>31.861630957408792</c:v>
                </c:pt>
                <c:pt idx="85">
                  <c:v>32.025404677363028</c:v>
                </c:pt>
                <c:pt idx="86">
                  <c:v>32.189208941259821</c:v>
                </c:pt>
                <c:pt idx="87">
                  <c:v>32.35303925104246</c:v>
                </c:pt>
                <c:pt idx="88">
                  <c:v>32.516891134470072</c:v>
                </c:pt>
                <c:pt idx="89">
                  <c:v>32.680760145514412</c:v>
                </c:pt>
                <c:pt idx="90">
                  <c:v>32.8446418647478</c:v>
                </c:pt>
                <c:pt idx="91">
                  <c:v>33.008531899722286</c:v>
                </c:pt>
                <c:pt idx="92">
                  <c:v>33.172425885339962</c:v>
                </c:pt>
                <c:pt idx="93">
                  <c:v>33.336319484214428</c:v>
                </c:pt>
                <c:pt idx="94">
                  <c:v>33.50020838702342</c:v>
                </c:pt>
                <c:pt idx="95">
                  <c:v>33.664088312852385</c:v>
                </c:pt>
                <c:pt idx="96">
                  <c:v>33.827955009529376</c:v>
                </c:pt>
                <c:pt idx="97">
                  <c:v>33.991804253951003</c:v>
                </c:pt>
                <c:pt idx="98">
                  <c:v>34.155631852399353</c:v>
                </c:pt>
                <c:pt idx="99">
                  <c:v>34.319433640850121</c:v>
                </c:pt>
                <c:pt idx="100">
                  <c:v>34.483205485271895</c:v>
                </c:pt>
                <c:pt idx="101">
                  <c:v>34.646943281916464</c:v>
                </c:pt>
                <c:pt idx="102">
                  <c:v>34.810642957600251</c:v>
                </c:pt>
                <c:pt idx="103">
                  <c:v>34.974300469976981</c:v>
                </c:pt>
                <c:pt idx="104">
                  <c:v>35.137911807801416</c:v>
                </c:pt>
                <c:pt idx="105">
                  <c:v>35.301472991184198</c:v>
                </c:pt>
                <c:pt idx="106">
                  <c:v>35.464980071838156</c:v>
                </c:pt>
                <c:pt idx="107">
                  <c:v>35.628429133315592</c:v>
                </c:pt>
                <c:pt idx="108">
                  <c:v>35.791816291236756</c:v>
                </c:pt>
                <c:pt idx="109">
                  <c:v>35.955137693509968</c:v>
                </c:pt>
                <c:pt idx="110">
                  <c:v>36.118389520542593</c:v>
                </c:pt>
                <c:pt idx="111">
                  <c:v>36.281567985443644</c:v>
                </c:pt>
                <c:pt idx="112">
                  <c:v>36.444669334217821</c:v>
                </c:pt>
                <c:pt idx="113">
                  <c:v>36.607689845950674</c:v>
                </c:pt>
                <c:pt idx="114">
                  <c:v>36.770625832985601</c:v>
                </c:pt>
                <c:pt idx="115">
                  <c:v>36.933473641091993</c:v>
                </c:pt>
                <c:pt idx="116">
                  <c:v>37.0962296496253</c:v>
                </c:pt>
                <c:pt idx="117">
                  <c:v>37.25889027167841</c:v>
                </c:pt>
                <c:pt idx="118">
                  <c:v>37.42145195422485</c:v>
                </c:pt>
                <c:pt idx="119">
                  <c:v>37.583911178253729</c:v>
                </c:pt>
                <c:pt idx="120">
                  <c:v>37.746264458896263</c:v>
                </c:pt>
                <c:pt idx="121">
                  <c:v>37.908508345544433</c:v>
                </c:pt>
                <c:pt idx="122">
                  <c:v>38.070639421961161</c:v>
                </c:pt>
                <c:pt idx="123">
                  <c:v>38.232654306382841</c:v>
                </c:pt>
                <c:pt idx="124">
                  <c:v>38.39454965161363</c:v>
                </c:pt>
                <c:pt idx="125">
                  <c:v>38.556322145111878</c:v>
                </c:pt>
                <c:pt idx="126">
                  <c:v>38.717968509068669</c:v>
                </c:pt>
                <c:pt idx="127">
                  <c:v>38.879485500478893</c:v>
                </c:pt>
                <c:pt idx="128">
                  <c:v>39.040869911204112</c:v>
                </c:pt>
                <c:pt idx="129">
                  <c:v>39.202118568028226</c:v>
                </c:pt>
                <c:pt idx="130">
                  <c:v>39.36322833270539</c:v>
                </c:pt>
                <c:pt idx="131">
                  <c:v>39.524196102000545</c:v>
                </c:pt>
                <c:pt idx="132">
                  <c:v>39.685018807722415</c:v>
                </c:pt>
                <c:pt idx="133">
                  <c:v>39.845693416749441</c:v>
                </c:pt>
                <c:pt idx="134">
                  <c:v>40.006216931048229</c:v>
                </c:pt>
                <c:pt idx="135">
                  <c:v>40.166586387684973</c:v>
                </c:pt>
                <c:pt idx="136">
                  <c:v>40.326798858829818</c:v>
                </c:pt>
                <c:pt idx="137">
                  <c:v>40.486851451754255</c:v>
                </c:pt>
                <c:pt idx="138">
                  <c:v>40.646741308821575</c:v>
                </c:pt>
                <c:pt idx="139">
                  <c:v>40.806465607470521</c:v>
                </c:pt>
                <c:pt idx="140">
                  <c:v>40.966021560192331</c:v>
                </c:pt>
                <c:pt idx="141">
                  <c:v>41.125406414501072</c:v>
                </c:pt>
                <c:pt idx="142">
                  <c:v>41.284617452897457</c:v>
                </c:pt>
                <c:pt idx="143">
                  <c:v>41.443651992826204</c:v>
                </c:pt>
                <c:pt idx="144">
                  <c:v>41.602507386627181</c:v>
                </c:pt>
                <c:pt idx="145">
                  <c:v>41.761181021480148</c:v>
                </c:pt>
                <c:pt idx="146">
                  <c:v>41.919670319343432</c:v>
                </c:pt>
                <c:pt idx="147">
                  <c:v>42.077972736886565</c:v>
                </c:pt>
                <c:pt idx="148">
                  <c:v>42.236085765416867</c:v>
                </c:pt>
                <c:pt idx="149">
                  <c:v>42.394006930800344</c:v>
                </c:pt>
                <c:pt idx="150">
                  <c:v>42.551733793376656</c:v>
                </c:pt>
                <c:pt idx="151">
                  <c:v>42.709263947868521</c:v>
                </c:pt>
                <c:pt idx="152">
                  <c:v>42.866595023285527</c:v>
                </c:pt>
                <c:pt idx="153">
                  <c:v>43.023724682822497</c:v>
                </c:pt>
                <c:pt idx="154">
                  <c:v>43.180650623752491</c:v>
                </c:pt>
                <c:pt idx="155">
                  <c:v>43.337370577314523</c:v>
                </c:pt>
                <c:pt idx="156">
                  <c:v>43.493882308596248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87-1B4B-9735-10A4BDE49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61504"/>
        <c:axId val="122973392"/>
      </c:lineChart>
      <c:catAx>
        <c:axId val="79261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73392"/>
        <c:crosses val="autoZero"/>
        <c:auto val="1"/>
        <c:lblAlgn val="ctr"/>
        <c:lblOffset val="100"/>
        <c:noMultiLvlLbl val="0"/>
      </c:catAx>
      <c:valAx>
        <c:axId val="12297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61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Price</a:t>
            </a:r>
            <a:r>
              <a:rPr lang="en-US" sz="1600" baseline="0">
                <a:solidFill>
                  <a:schemeClr val="tx1"/>
                </a:solidFill>
              </a:rPr>
              <a:t> Sensitivity to Dividend Rate</a:t>
            </a:r>
            <a:endParaRPr lang="en-US" sz="1600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'Call Sensitivity'!$G$18</c:f>
              <c:strCache>
                <c:ptCount val="1"/>
                <c:pt idx="0">
                  <c:v>FSLB Call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'Call Sensitivity'!$F$19:$F$75</c:f>
              <c:numCache>
                <c:formatCode>General</c:formatCode>
                <c:ptCount val="57"/>
                <c:pt idx="0">
                  <c:v>0</c:v>
                </c:pt>
                <c:pt idx="1">
                  <c:v>1.2500000000000001E-2</c:v>
                </c:pt>
                <c:pt idx="2">
                  <c:v>1.4999999999999999E-2</c:v>
                </c:pt>
                <c:pt idx="3">
                  <c:v>1.7500000000000002E-2</c:v>
                </c:pt>
                <c:pt idx="4">
                  <c:v>0.02</c:v>
                </c:pt>
                <c:pt idx="5">
                  <c:v>2.2499999999999999E-2</c:v>
                </c:pt>
                <c:pt idx="6">
                  <c:v>2.5000000000000001E-2</c:v>
                </c:pt>
                <c:pt idx="7">
                  <c:v>2.75E-2</c:v>
                </c:pt>
                <c:pt idx="8">
                  <c:v>0.03</c:v>
                </c:pt>
                <c:pt idx="9">
                  <c:v>3.2500000000000001E-2</c:v>
                </c:pt>
                <c:pt idx="10">
                  <c:v>3.5000000000000003E-2</c:v>
                </c:pt>
                <c:pt idx="11">
                  <c:v>3.7499999999999999E-2</c:v>
                </c:pt>
                <c:pt idx="12">
                  <c:v>0.04</c:v>
                </c:pt>
                <c:pt idx="13">
                  <c:v>4.2500000000000003E-2</c:v>
                </c:pt>
                <c:pt idx="14">
                  <c:v>4.4999999999999998E-2</c:v>
                </c:pt>
                <c:pt idx="15">
                  <c:v>4.7500000000000001E-2</c:v>
                </c:pt>
                <c:pt idx="16">
                  <c:v>0.05</c:v>
                </c:pt>
                <c:pt idx="17">
                  <c:v>5.2499999999999998E-2</c:v>
                </c:pt>
                <c:pt idx="18">
                  <c:v>5.5E-2</c:v>
                </c:pt>
                <c:pt idx="19">
                  <c:v>5.7500000000000002E-2</c:v>
                </c:pt>
                <c:pt idx="20">
                  <c:v>0.06</c:v>
                </c:pt>
                <c:pt idx="21">
                  <c:v>6.25E-2</c:v>
                </c:pt>
                <c:pt idx="22">
                  <c:v>6.5000000000000002E-2</c:v>
                </c:pt>
                <c:pt idx="23">
                  <c:v>6.7500000000000004E-2</c:v>
                </c:pt>
                <c:pt idx="24">
                  <c:v>7.0000000000000007E-2</c:v>
                </c:pt>
                <c:pt idx="25">
                  <c:v>7.2499999999999995E-2</c:v>
                </c:pt>
                <c:pt idx="26">
                  <c:v>7.4999999999999997E-2</c:v>
                </c:pt>
                <c:pt idx="27">
                  <c:v>7.7499999999999999E-2</c:v>
                </c:pt>
                <c:pt idx="28">
                  <c:v>0.08</c:v>
                </c:pt>
                <c:pt idx="29">
                  <c:v>8.2500000000000004E-2</c:v>
                </c:pt>
                <c:pt idx="30">
                  <c:v>8.5000000000000006E-2</c:v>
                </c:pt>
                <c:pt idx="31">
                  <c:v>8.7499999999999994E-2</c:v>
                </c:pt>
                <c:pt idx="32">
                  <c:v>0.09</c:v>
                </c:pt>
                <c:pt idx="33">
                  <c:v>9.2499999999999999E-2</c:v>
                </c:pt>
                <c:pt idx="34">
                  <c:v>9.5000000000000001E-2</c:v>
                </c:pt>
                <c:pt idx="35">
                  <c:v>9.7500000000000003E-2</c:v>
                </c:pt>
                <c:pt idx="36">
                  <c:v>0.1</c:v>
                </c:pt>
                <c:pt idx="37">
                  <c:v>0.10249999999999999</c:v>
                </c:pt>
                <c:pt idx="38">
                  <c:v>0.105</c:v>
                </c:pt>
                <c:pt idx="39">
                  <c:v>0.1075</c:v>
                </c:pt>
                <c:pt idx="40">
                  <c:v>0.11</c:v>
                </c:pt>
                <c:pt idx="41">
                  <c:v>0.1125</c:v>
                </c:pt>
                <c:pt idx="42">
                  <c:v>0.115</c:v>
                </c:pt>
                <c:pt idx="43">
                  <c:v>0.11749999999999999</c:v>
                </c:pt>
                <c:pt idx="44">
                  <c:v>0.12</c:v>
                </c:pt>
                <c:pt idx="45">
                  <c:v>0.1225</c:v>
                </c:pt>
                <c:pt idx="46">
                  <c:v>0.125</c:v>
                </c:pt>
                <c:pt idx="47">
                  <c:v>0.1275</c:v>
                </c:pt>
                <c:pt idx="48">
                  <c:v>0.13</c:v>
                </c:pt>
                <c:pt idx="49">
                  <c:v>0.13250000000000001</c:v>
                </c:pt>
                <c:pt idx="50">
                  <c:v>0.13500000000000001</c:v>
                </c:pt>
                <c:pt idx="51">
                  <c:v>0.13750000000000001</c:v>
                </c:pt>
                <c:pt idx="52">
                  <c:v>0.14000000000000001</c:v>
                </c:pt>
                <c:pt idx="53">
                  <c:v>0.14249999999999999</c:v>
                </c:pt>
                <c:pt idx="54">
                  <c:v>0.14499999999999999</c:v>
                </c:pt>
                <c:pt idx="55">
                  <c:v>0.14749999999999999</c:v>
                </c:pt>
                <c:pt idx="56">
                  <c:v>0.15</c:v>
                </c:pt>
              </c:numCache>
            </c:numRef>
          </c:cat>
          <c:val>
            <c:numRef>
              <c:f>'Call Sensitivity'!$G$19:$G$75</c:f>
              <c:numCache>
                <c:formatCode>General</c:formatCode>
                <c:ptCount val="57"/>
                <c:pt idx="0">
                  <c:v>13.536782505642542</c:v>
                </c:pt>
                <c:pt idx="1">
                  <c:v>12.485492392860424</c:v>
                </c:pt>
                <c:pt idx="2">
                  <c:v>12.281950595883609</c:v>
                </c:pt>
                <c:pt idx="3">
                  <c:v>12.080600296582595</c:v>
                </c:pt>
                <c:pt idx="4">
                  <c:v>11.881421413660888</c:v>
                </c:pt>
                <c:pt idx="5">
                  <c:v>11.68439395386704</c:v>
                </c:pt>
                <c:pt idx="6">
                  <c:v>11.489498014648152</c:v>
                </c:pt>
                <c:pt idx="7">
                  <c:v>11.296713786747709</c:v>
                </c:pt>
                <c:pt idx="8">
                  <c:v>11.106021556746793</c:v>
                </c:pt>
                <c:pt idx="9">
                  <c:v>10.917401709547498</c:v>
                </c:pt>
                <c:pt idx="10">
                  <c:v>10.730834730797978</c:v>
                </c:pt>
                <c:pt idx="11">
                  <c:v>10.546301209258383</c:v>
                </c:pt>
                <c:pt idx="12">
                  <c:v>10.363781839106927</c:v>
                </c:pt>
                <c:pt idx="13">
                  <c:v>10.183257422185306</c:v>
                </c:pt>
                <c:pt idx="14">
                  <c:v>10.004708870182736</c:v>
                </c:pt>
                <c:pt idx="15">
                  <c:v>9.8281172067586713</c:v>
                </c:pt>
                <c:pt idx="17">
                  <c:v>9.4807292124328892</c:v>
                </c:pt>
                <c:pt idx="18">
                  <c:v>9.3098955069274929</c:v>
                </c:pt>
                <c:pt idx="19">
                  <c:v>9.1409439445979945</c:v>
                </c:pt>
                <c:pt idx="20">
                  <c:v>8.9738561385944084</c:v>
                </c:pt>
                <c:pt idx="21">
                  <c:v>8.8086138254476989</c:v>
                </c:pt>
                <c:pt idx="22">
                  <c:v>8.6451988667474495</c:v>
                </c:pt>
                <c:pt idx="23">
                  <c:v>8.4835932507550389</c:v>
                </c:pt>
                <c:pt idx="24">
                  <c:v>8.3237790939515968</c:v>
                </c:pt>
                <c:pt idx="25">
                  <c:v>8.1657386425212426</c:v>
                </c:pt>
                <c:pt idx="26">
                  <c:v>8.0094542737690695</c:v>
                </c:pt>
                <c:pt idx="27">
                  <c:v>7.8549084974741588</c:v>
                </c:pt>
                <c:pt idx="28">
                  <c:v>7.7020839571775008</c:v>
                </c:pt>
                <c:pt idx="29">
                  <c:v>7.5509634314047904</c:v>
                </c:pt>
                <c:pt idx="30">
                  <c:v>7.4015298348245313</c:v>
                </c:pt>
                <c:pt idx="31">
                  <c:v>7.2537662193411299</c:v>
                </c:pt>
                <c:pt idx="32">
                  <c:v>7.1076557751236891</c:v>
                </c:pt>
                <c:pt idx="33">
                  <c:v>6.963181831570239</c:v>
                </c:pt>
                <c:pt idx="34">
                  <c:v>6.8203278582080191</c:v>
                </c:pt>
                <c:pt idx="35">
                  <c:v>6.6790774655300069</c:v>
                </c:pt>
                <c:pt idx="36">
                  <c:v>6.5394144057679942</c:v>
                </c:pt>
                <c:pt idx="37">
                  <c:v>6.4013225736026698</c:v>
                </c:pt>
                <c:pt idx="38">
                  <c:v>6.2647860068111569</c:v>
                </c:pt>
                <c:pt idx="39">
                  <c:v>6.1297888868523263</c:v>
                </c:pt>
                <c:pt idx="40">
                  <c:v>5.996315539390582</c:v>
                </c:pt>
                <c:pt idx="41">
                  <c:v>5.8643504347584789</c:v>
                </c:pt>
                <c:pt idx="42">
                  <c:v>5.7338781883589043</c:v>
                </c:pt>
                <c:pt idx="43">
                  <c:v>5.6048835610071777</c:v>
                </c:pt>
                <c:pt idx="44">
                  <c:v>5.4773514592140753</c:v>
                </c:pt>
                <c:pt idx="45">
                  <c:v>5.3512669354100568</c:v>
                </c:pt>
                <c:pt idx="46">
                  <c:v>5.2266151881116478</c:v>
                </c:pt>
                <c:pt idx="47">
                  <c:v>5.1033815620305827</c:v>
                </c:pt>
                <c:pt idx="48">
                  <c:v>4.9815515481266033</c:v>
                </c:pt>
                <c:pt idx="49">
                  <c:v>4.8611107836044241</c:v>
                </c:pt>
                <c:pt idx="50">
                  <c:v>4.7420450518560182</c:v>
                </c:pt>
                <c:pt idx="51">
                  <c:v>4.6243402823488333</c:v>
                </c:pt>
                <c:pt idx="52">
                  <c:v>4.5079825504608015</c:v>
                </c:pt>
                <c:pt idx="53">
                  <c:v>4.3929580772631587</c:v>
                </c:pt>
                <c:pt idx="54">
                  <c:v>4.2792532292518786</c:v>
                </c:pt>
                <c:pt idx="55">
                  <c:v>4.1668545180287113</c:v>
                </c:pt>
                <c:pt idx="56">
                  <c:v>4.055748599932679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4F-144C-9BE1-567518C9EB4D}"/>
            </c:ext>
          </c:extLst>
        </c:ser>
        <c:ser>
          <c:idx val="1"/>
          <c:order val="1"/>
          <c:tx>
            <c:strRef>
              <c:f>'Call Sensitivity'!$H$18</c:f>
              <c:strCache>
                <c:ptCount val="1"/>
                <c:pt idx="0">
                  <c:v>BSM Call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'Call Sensitivity'!$F$19:$F$75</c:f>
              <c:numCache>
                <c:formatCode>General</c:formatCode>
                <c:ptCount val="57"/>
                <c:pt idx="0">
                  <c:v>0</c:v>
                </c:pt>
                <c:pt idx="1">
                  <c:v>1.2500000000000001E-2</c:v>
                </c:pt>
                <c:pt idx="2">
                  <c:v>1.4999999999999999E-2</c:v>
                </c:pt>
                <c:pt idx="3">
                  <c:v>1.7500000000000002E-2</c:v>
                </c:pt>
                <c:pt idx="4">
                  <c:v>0.02</c:v>
                </c:pt>
                <c:pt idx="5">
                  <c:v>2.2499999999999999E-2</c:v>
                </c:pt>
                <c:pt idx="6">
                  <c:v>2.5000000000000001E-2</c:v>
                </c:pt>
                <c:pt idx="7">
                  <c:v>2.75E-2</c:v>
                </c:pt>
                <c:pt idx="8">
                  <c:v>0.03</c:v>
                </c:pt>
                <c:pt idx="9">
                  <c:v>3.2500000000000001E-2</c:v>
                </c:pt>
                <c:pt idx="10">
                  <c:v>3.5000000000000003E-2</c:v>
                </c:pt>
                <c:pt idx="11">
                  <c:v>3.7499999999999999E-2</c:v>
                </c:pt>
                <c:pt idx="12">
                  <c:v>0.04</c:v>
                </c:pt>
                <c:pt idx="13">
                  <c:v>4.2500000000000003E-2</c:v>
                </c:pt>
                <c:pt idx="14">
                  <c:v>4.4999999999999998E-2</c:v>
                </c:pt>
                <c:pt idx="15">
                  <c:v>4.7500000000000001E-2</c:v>
                </c:pt>
                <c:pt idx="16">
                  <c:v>0.05</c:v>
                </c:pt>
                <c:pt idx="17">
                  <c:v>5.2499999999999998E-2</c:v>
                </c:pt>
                <c:pt idx="18">
                  <c:v>5.5E-2</c:v>
                </c:pt>
                <c:pt idx="19">
                  <c:v>5.7500000000000002E-2</c:v>
                </c:pt>
                <c:pt idx="20">
                  <c:v>0.06</c:v>
                </c:pt>
                <c:pt idx="21">
                  <c:v>6.25E-2</c:v>
                </c:pt>
                <c:pt idx="22">
                  <c:v>6.5000000000000002E-2</c:v>
                </c:pt>
                <c:pt idx="23">
                  <c:v>6.7500000000000004E-2</c:v>
                </c:pt>
                <c:pt idx="24">
                  <c:v>7.0000000000000007E-2</c:v>
                </c:pt>
                <c:pt idx="25">
                  <c:v>7.2499999999999995E-2</c:v>
                </c:pt>
                <c:pt idx="26">
                  <c:v>7.4999999999999997E-2</c:v>
                </c:pt>
                <c:pt idx="27">
                  <c:v>7.7499999999999999E-2</c:v>
                </c:pt>
                <c:pt idx="28">
                  <c:v>0.08</c:v>
                </c:pt>
                <c:pt idx="29">
                  <c:v>8.2500000000000004E-2</c:v>
                </c:pt>
                <c:pt idx="30">
                  <c:v>8.5000000000000006E-2</c:v>
                </c:pt>
                <c:pt idx="31">
                  <c:v>8.7499999999999994E-2</c:v>
                </c:pt>
                <c:pt idx="32">
                  <c:v>0.09</c:v>
                </c:pt>
                <c:pt idx="33">
                  <c:v>9.2499999999999999E-2</c:v>
                </c:pt>
                <c:pt idx="34">
                  <c:v>9.5000000000000001E-2</c:v>
                </c:pt>
                <c:pt idx="35">
                  <c:v>9.7500000000000003E-2</c:v>
                </c:pt>
                <c:pt idx="36">
                  <c:v>0.1</c:v>
                </c:pt>
                <c:pt idx="37">
                  <c:v>0.10249999999999999</c:v>
                </c:pt>
                <c:pt idx="38">
                  <c:v>0.105</c:v>
                </c:pt>
                <c:pt idx="39">
                  <c:v>0.1075</c:v>
                </c:pt>
                <c:pt idx="40">
                  <c:v>0.11</c:v>
                </c:pt>
                <c:pt idx="41">
                  <c:v>0.1125</c:v>
                </c:pt>
                <c:pt idx="42">
                  <c:v>0.115</c:v>
                </c:pt>
                <c:pt idx="43">
                  <c:v>0.11749999999999999</c:v>
                </c:pt>
                <c:pt idx="44">
                  <c:v>0.12</c:v>
                </c:pt>
                <c:pt idx="45">
                  <c:v>0.1225</c:v>
                </c:pt>
                <c:pt idx="46">
                  <c:v>0.125</c:v>
                </c:pt>
                <c:pt idx="47">
                  <c:v>0.1275</c:v>
                </c:pt>
                <c:pt idx="48">
                  <c:v>0.13</c:v>
                </c:pt>
                <c:pt idx="49">
                  <c:v>0.13250000000000001</c:v>
                </c:pt>
                <c:pt idx="50">
                  <c:v>0.13500000000000001</c:v>
                </c:pt>
                <c:pt idx="51">
                  <c:v>0.13750000000000001</c:v>
                </c:pt>
                <c:pt idx="52">
                  <c:v>0.14000000000000001</c:v>
                </c:pt>
                <c:pt idx="53">
                  <c:v>0.14249999999999999</c:v>
                </c:pt>
                <c:pt idx="54">
                  <c:v>0.14499999999999999</c:v>
                </c:pt>
                <c:pt idx="55">
                  <c:v>0.14749999999999999</c:v>
                </c:pt>
                <c:pt idx="56">
                  <c:v>0.15</c:v>
                </c:pt>
              </c:numCache>
            </c:numRef>
          </c:cat>
          <c:val>
            <c:numRef>
              <c:f>'Call Sensitivity'!$H$19:$H$75</c:f>
              <c:numCache>
                <c:formatCode>General</c:formatCode>
                <c:ptCount val="57"/>
                <c:pt idx="0">
                  <c:v>21.061031192609683</c:v>
                </c:pt>
                <c:pt idx="1">
                  <c:v>20.06320335877156</c:v>
                </c:pt>
                <c:pt idx="2">
                  <c:v>19.867388277291113</c:v>
                </c:pt>
                <c:pt idx="3">
                  <c:v>19.672820437191596</c:v>
                </c:pt>
                <c:pt idx="4">
                  <c:v>19.479498496970756</c:v>
                </c:pt>
                <c:pt idx="5">
                  <c:v>19.287421069715229</c:v>
                </c:pt>
                <c:pt idx="6">
                  <c:v>19.096586722863421</c:v>
                </c:pt>
                <c:pt idx="7">
                  <c:v>18.90699397797885</c:v>
                </c:pt>
                <c:pt idx="8">
                  <c:v>18.718641310533329</c:v>
                </c:pt>
                <c:pt idx="9">
                  <c:v>18.531527149700501</c:v>
                </c:pt>
                <c:pt idx="10">
                  <c:v>18.345649878159733</c:v>
                </c:pt>
                <c:pt idx="11">
                  <c:v>18.161007831910219</c:v>
                </c:pt>
                <c:pt idx="12">
                  <c:v>17.977599300095768</c:v>
                </c:pt>
                <c:pt idx="13">
                  <c:v>17.795422524840063</c:v>
                </c:pt>
                <c:pt idx="14">
                  <c:v>17.614475701092367</c:v>
                </c:pt>
                <c:pt idx="15">
                  <c:v>17.434756976484238</c:v>
                </c:pt>
                <c:pt idx="16">
                  <c:v>17.256264451196735</c:v>
                </c:pt>
                <c:pt idx="17">
                  <c:v>17.078996177838448</c:v>
                </c:pt>
                <c:pt idx="18">
                  <c:v>16.902950161334488</c:v>
                </c:pt>
                <c:pt idx="19">
                  <c:v>16.728124358826321</c:v>
                </c:pt>
                <c:pt idx="20">
                  <c:v>16.554516679582576</c:v>
                </c:pt>
                <c:pt idx="21">
                  <c:v>16.382124984920885</c:v>
                </c:pt>
                <c:pt idx="22">
                  <c:v>16.210947088140628</c:v>
                </c:pt>
                <c:pt idx="23">
                  <c:v>16.040980754467007</c:v>
                </c:pt>
                <c:pt idx="24">
                  <c:v>15.872223701006</c:v>
                </c:pt>
                <c:pt idx="25">
                  <c:v>15.704673596710556</c:v>
                </c:pt>
                <c:pt idx="26">
                  <c:v>15.538328062358012</c:v>
                </c:pt>
                <c:pt idx="27">
                  <c:v>15.373184670538528</c:v>
                </c:pt>
                <c:pt idx="28">
                  <c:v>15.209240945654997</c:v>
                </c:pt>
                <c:pt idx="29">
                  <c:v>15.046494363933803</c:v>
                </c:pt>
                <c:pt idx="30">
                  <c:v>14.884942353447265</c:v>
                </c:pt>
                <c:pt idx="31">
                  <c:v>14.724582294146884</c:v>
                </c:pt>
                <c:pt idx="32">
                  <c:v>14.565411517908139</c:v>
                </c:pt>
                <c:pt idx="33">
                  <c:v>14.407427308586342</c:v>
                </c:pt>
                <c:pt idx="34">
                  <c:v>14.250626902083837</c:v>
                </c:pt>
                <c:pt idx="35">
                  <c:v>14.095007486428337</c:v>
                </c:pt>
                <c:pt idx="36">
                  <c:v>13.94056620186246</c:v>
                </c:pt>
                <c:pt idx="37">
                  <c:v>13.787300140944602</c:v>
                </c:pt>
                <c:pt idx="38">
                  <c:v>13.63520634866078</c:v>
                </c:pt>
                <c:pt idx="39">
                  <c:v>13.484281822547722</c:v>
                </c:pt>
                <c:pt idx="40">
                  <c:v>13.334523512827118</c:v>
                </c:pt>
                <c:pt idx="41">
                  <c:v>13.185928322550851</c:v>
                </c:pt>
                <c:pt idx="42">
                  <c:v>13.038493107757297</c:v>
                </c:pt>
                <c:pt idx="43">
                  <c:v>12.892214677638691</c:v>
                </c:pt>
                <c:pt idx="44">
                  <c:v>12.747089794719358</c:v>
                </c:pt>
                <c:pt idx="45">
                  <c:v>12.603115175044955</c:v>
                </c:pt>
                <c:pt idx="46">
                  <c:v>12.46028748838242</c:v>
                </c:pt>
                <c:pt idx="47">
                  <c:v>12.318603358430934</c:v>
                </c:pt>
                <c:pt idx="48">
                  <c:v>12.17805936304341</c:v>
                </c:pt>
                <c:pt idx="49">
                  <c:v>12.038652034458856</c:v>
                </c:pt>
                <c:pt idx="50">
                  <c:v>11.900377859545095</c:v>
                </c:pt>
                <c:pt idx="51">
                  <c:v>11.763233280052361</c:v>
                </c:pt>
                <c:pt idx="52">
                  <c:v>11.627214692876983</c:v>
                </c:pt>
                <c:pt idx="53">
                  <c:v>11.492318450335738</c:v>
                </c:pt>
                <c:pt idx="54">
                  <c:v>11.358540860450482</c:v>
                </c:pt>
                <c:pt idx="55">
                  <c:v>11.225878187242799</c:v>
                </c:pt>
                <c:pt idx="56">
                  <c:v>11.094326651038948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4F-144C-9BE1-567518C9E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784160"/>
        <c:axId val="125785856"/>
      </c:lineChart>
      <c:catAx>
        <c:axId val="125784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85856"/>
        <c:crosses val="autoZero"/>
        <c:auto val="1"/>
        <c:lblAlgn val="ctr"/>
        <c:lblOffset val="100"/>
        <c:noMultiLvlLbl val="0"/>
      </c:catAx>
      <c:valAx>
        <c:axId val="12578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84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</a:t>
            </a:r>
            <a:r>
              <a:rPr lang="en-US" baseline="0"/>
              <a:t> Sensitivity to Volatility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'Call Sensitivity'!$K$18</c:f>
              <c:strCache>
                <c:ptCount val="1"/>
                <c:pt idx="0">
                  <c:v>FSLB Call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'Call Sensitivity'!$J$20:$J$157</c:f>
              <c:numCache>
                <c:formatCode>General</c:formatCode>
                <c:ptCount val="138"/>
                <c:pt idx="0">
                  <c:v>1.4999999999999999E-2</c:v>
                </c:pt>
                <c:pt idx="1">
                  <c:v>0.02</c:v>
                </c:pt>
                <c:pt idx="2">
                  <c:v>2.5000000000000001E-2</c:v>
                </c:pt>
                <c:pt idx="3">
                  <c:v>0.03</c:v>
                </c:pt>
                <c:pt idx="4">
                  <c:v>3.5000000000000003E-2</c:v>
                </c:pt>
                <c:pt idx="5">
                  <c:v>0.04</c:v>
                </c:pt>
                <c:pt idx="6">
                  <c:v>4.4999999999999998E-2</c:v>
                </c:pt>
                <c:pt idx="7">
                  <c:v>0.05</c:v>
                </c:pt>
                <c:pt idx="8">
                  <c:v>5.5E-2</c:v>
                </c:pt>
                <c:pt idx="9">
                  <c:v>0.06</c:v>
                </c:pt>
                <c:pt idx="10">
                  <c:v>6.5000000000000002E-2</c:v>
                </c:pt>
                <c:pt idx="11">
                  <c:v>7.0000000000000007E-2</c:v>
                </c:pt>
                <c:pt idx="12">
                  <c:v>7.4999999999999997E-2</c:v>
                </c:pt>
                <c:pt idx="13">
                  <c:v>0.08</c:v>
                </c:pt>
                <c:pt idx="14">
                  <c:v>8.5000000000000006E-2</c:v>
                </c:pt>
                <c:pt idx="15">
                  <c:v>0.09</c:v>
                </c:pt>
                <c:pt idx="16">
                  <c:v>9.5000000000000001E-2</c:v>
                </c:pt>
                <c:pt idx="17">
                  <c:v>0.1</c:v>
                </c:pt>
                <c:pt idx="18">
                  <c:v>0.105</c:v>
                </c:pt>
                <c:pt idx="19">
                  <c:v>0.11</c:v>
                </c:pt>
                <c:pt idx="20">
                  <c:v>0.115</c:v>
                </c:pt>
                <c:pt idx="21">
                  <c:v>0.12</c:v>
                </c:pt>
                <c:pt idx="22">
                  <c:v>0.125</c:v>
                </c:pt>
                <c:pt idx="23">
                  <c:v>0.13</c:v>
                </c:pt>
                <c:pt idx="24">
                  <c:v>0.13500000000000001</c:v>
                </c:pt>
                <c:pt idx="25">
                  <c:v>0.14000000000000001</c:v>
                </c:pt>
                <c:pt idx="26">
                  <c:v>0.14499999999999999</c:v>
                </c:pt>
                <c:pt idx="27">
                  <c:v>0.15</c:v>
                </c:pt>
                <c:pt idx="28">
                  <c:v>0.155</c:v>
                </c:pt>
                <c:pt idx="29">
                  <c:v>0.16</c:v>
                </c:pt>
                <c:pt idx="30">
                  <c:v>0.16500000000000001</c:v>
                </c:pt>
                <c:pt idx="31">
                  <c:v>0.17</c:v>
                </c:pt>
                <c:pt idx="32">
                  <c:v>0.17499999999999999</c:v>
                </c:pt>
                <c:pt idx="33">
                  <c:v>0.18</c:v>
                </c:pt>
                <c:pt idx="34">
                  <c:v>0.185</c:v>
                </c:pt>
                <c:pt idx="35">
                  <c:v>0.19</c:v>
                </c:pt>
                <c:pt idx="36">
                  <c:v>0.19500000000000001</c:v>
                </c:pt>
                <c:pt idx="37">
                  <c:v>0.2</c:v>
                </c:pt>
                <c:pt idx="38">
                  <c:v>0.20499999999999999</c:v>
                </c:pt>
                <c:pt idx="39">
                  <c:v>0.21</c:v>
                </c:pt>
                <c:pt idx="40">
                  <c:v>0.215</c:v>
                </c:pt>
                <c:pt idx="41">
                  <c:v>0.22</c:v>
                </c:pt>
                <c:pt idx="42">
                  <c:v>0.22500000000000001</c:v>
                </c:pt>
                <c:pt idx="43">
                  <c:v>0.23</c:v>
                </c:pt>
                <c:pt idx="44">
                  <c:v>0.23499999999999999</c:v>
                </c:pt>
                <c:pt idx="45">
                  <c:v>0.24</c:v>
                </c:pt>
                <c:pt idx="46">
                  <c:v>0.245</c:v>
                </c:pt>
                <c:pt idx="47">
                  <c:v>0.25</c:v>
                </c:pt>
                <c:pt idx="48">
                  <c:v>0.255</c:v>
                </c:pt>
                <c:pt idx="49">
                  <c:v>0.26</c:v>
                </c:pt>
                <c:pt idx="50">
                  <c:v>0.26500000000000001</c:v>
                </c:pt>
                <c:pt idx="51">
                  <c:v>0.27</c:v>
                </c:pt>
                <c:pt idx="52">
                  <c:v>0.27500000000000002</c:v>
                </c:pt>
                <c:pt idx="53">
                  <c:v>0.28000000000000003</c:v>
                </c:pt>
                <c:pt idx="54">
                  <c:v>0.28499999999999998</c:v>
                </c:pt>
                <c:pt idx="55">
                  <c:v>0.28999999999999998</c:v>
                </c:pt>
                <c:pt idx="56">
                  <c:v>0.29499999999999998</c:v>
                </c:pt>
                <c:pt idx="57">
                  <c:v>0.3</c:v>
                </c:pt>
                <c:pt idx="58">
                  <c:v>0.30499999999999999</c:v>
                </c:pt>
                <c:pt idx="59">
                  <c:v>0.31</c:v>
                </c:pt>
                <c:pt idx="60">
                  <c:v>0.315</c:v>
                </c:pt>
                <c:pt idx="61">
                  <c:v>0.32</c:v>
                </c:pt>
                <c:pt idx="62">
                  <c:v>0.32500000000000001</c:v>
                </c:pt>
                <c:pt idx="63">
                  <c:v>0.33</c:v>
                </c:pt>
                <c:pt idx="64">
                  <c:v>0.33500000000000002</c:v>
                </c:pt>
                <c:pt idx="65">
                  <c:v>0.34</c:v>
                </c:pt>
                <c:pt idx="66">
                  <c:v>0.34499999999999997</c:v>
                </c:pt>
                <c:pt idx="67">
                  <c:v>0.35</c:v>
                </c:pt>
                <c:pt idx="68">
                  <c:v>0.35499999999999998</c:v>
                </c:pt>
                <c:pt idx="69">
                  <c:v>0.36</c:v>
                </c:pt>
                <c:pt idx="70">
                  <c:v>0.36499999999999999</c:v>
                </c:pt>
                <c:pt idx="71">
                  <c:v>0.37</c:v>
                </c:pt>
                <c:pt idx="72">
                  <c:v>0.375</c:v>
                </c:pt>
                <c:pt idx="73">
                  <c:v>0.38</c:v>
                </c:pt>
                <c:pt idx="74">
                  <c:v>0.38500000000000001</c:v>
                </c:pt>
                <c:pt idx="75">
                  <c:v>0.39</c:v>
                </c:pt>
                <c:pt idx="76">
                  <c:v>0.39500000000000002</c:v>
                </c:pt>
                <c:pt idx="77">
                  <c:v>0.4</c:v>
                </c:pt>
                <c:pt idx="78">
                  <c:v>0.40500000000000003</c:v>
                </c:pt>
                <c:pt idx="79">
                  <c:v>0.41</c:v>
                </c:pt>
                <c:pt idx="80">
                  <c:v>0.41499999999999998</c:v>
                </c:pt>
                <c:pt idx="81">
                  <c:v>0.42</c:v>
                </c:pt>
                <c:pt idx="82">
                  <c:v>0.42499999999999999</c:v>
                </c:pt>
                <c:pt idx="83">
                  <c:v>0.43</c:v>
                </c:pt>
                <c:pt idx="84">
                  <c:v>0.435</c:v>
                </c:pt>
                <c:pt idx="85">
                  <c:v>0.44</c:v>
                </c:pt>
                <c:pt idx="86">
                  <c:v>0.44500000000000001</c:v>
                </c:pt>
                <c:pt idx="87">
                  <c:v>0.45</c:v>
                </c:pt>
                <c:pt idx="88">
                  <c:v>0.45500000000000002</c:v>
                </c:pt>
                <c:pt idx="89">
                  <c:v>0.46</c:v>
                </c:pt>
                <c:pt idx="90">
                  <c:v>0.46500000000000002</c:v>
                </c:pt>
                <c:pt idx="91">
                  <c:v>0.47</c:v>
                </c:pt>
                <c:pt idx="92">
                  <c:v>0.47499999999999998</c:v>
                </c:pt>
                <c:pt idx="93">
                  <c:v>0.48</c:v>
                </c:pt>
                <c:pt idx="94">
                  <c:v>0.48499999999999999</c:v>
                </c:pt>
                <c:pt idx="95">
                  <c:v>0.49</c:v>
                </c:pt>
                <c:pt idx="96">
                  <c:v>0.495</c:v>
                </c:pt>
                <c:pt idx="97">
                  <c:v>0.5</c:v>
                </c:pt>
                <c:pt idx="98">
                  <c:v>0.505</c:v>
                </c:pt>
                <c:pt idx="99">
                  <c:v>0.51</c:v>
                </c:pt>
                <c:pt idx="100">
                  <c:v>0.51500000000000001</c:v>
                </c:pt>
                <c:pt idx="101">
                  <c:v>0.52</c:v>
                </c:pt>
                <c:pt idx="102">
                  <c:v>0.52500000000000002</c:v>
                </c:pt>
                <c:pt idx="103">
                  <c:v>0.53</c:v>
                </c:pt>
                <c:pt idx="104">
                  <c:v>0.53500000000000003</c:v>
                </c:pt>
                <c:pt idx="105">
                  <c:v>0.54</c:v>
                </c:pt>
                <c:pt idx="106">
                  <c:v>0.54500000000000004</c:v>
                </c:pt>
                <c:pt idx="107">
                  <c:v>0.55000000000000004</c:v>
                </c:pt>
                <c:pt idx="108">
                  <c:v>0.55500000000000005</c:v>
                </c:pt>
                <c:pt idx="109">
                  <c:v>0.56000000000000005</c:v>
                </c:pt>
                <c:pt idx="110">
                  <c:v>0.56499999999999995</c:v>
                </c:pt>
                <c:pt idx="111">
                  <c:v>0.56999999999999995</c:v>
                </c:pt>
                <c:pt idx="112">
                  <c:v>0.57499999999999996</c:v>
                </c:pt>
                <c:pt idx="113">
                  <c:v>0.57999999999999996</c:v>
                </c:pt>
                <c:pt idx="114">
                  <c:v>0.58499999999999996</c:v>
                </c:pt>
                <c:pt idx="115">
                  <c:v>0.59</c:v>
                </c:pt>
                <c:pt idx="116">
                  <c:v>0.59499999999999997</c:v>
                </c:pt>
                <c:pt idx="117">
                  <c:v>0.6</c:v>
                </c:pt>
                <c:pt idx="118">
                  <c:v>0.60499999999999998</c:v>
                </c:pt>
                <c:pt idx="119">
                  <c:v>0.61</c:v>
                </c:pt>
                <c:pt idx="120">
                  <c:v>0.61499999999999999</c:v>
                </c:pt>
                <c:pt idx="121">
                  <c:v>0.62</c:v>
                </c:pt>
                <c:pt idx="122">
                  <c:v>0.625</c:v>
                </c:pt>
                <c:pt idx="123">
                  <c:v>0.63</c:v>
                </c:pt>
                <c:pt idx="124">
                  <c:v>0.63500000000000001</c:v>
                </c:pt>
                <c:pt idx="125">
                  <c:v>0.64</c:v>
                </c:pt>
                <c:pt idx="126">
                  <c:v>0.64500000000000002</c:v>
                </c:pt>
                <c:pt idx="127">
                  <c:v>0.65</c:v>
                </c:pt>
                <c:pt idx="128">
                  <c:v>0.65500000000000003</c:v>
                </c:pt>
                <c:pt idx="129">
                  <c:v>0.66</c:v>
                </c:pt>
                <c:pt idx="130">
                  <c:v>0.66500000000000004</c:v>
                </c:pt>
                <c:pt idx="131">
                  <c:v>0.67</c:v>
                </c:pt>
                <c:pt idx="132">
                  <c:v>0.67500000000000004</c:v>
                </c:pt>
                <c:pt idx="133">
                  <c:v>0.68</c:v>
                </c:pt>
                <c:pt idx="134">
                  <c:v>0.68500000000000005</c:v>
                </c:pt>
                <c:pt idx="135">
                  <c:v>0.69</c:v>
                </c:pt>
                <c:pt idx="136">
                  <c:v>0.69499999999999995</c:v>
                </c:pt>
                <c:pt idx="137">
                  <c:v>0.7</c:v>
                </c:pt>
              </c:numCache>
            </c:numRef>
          </c:cat>
          <c:val>
            <c:numRef>
              <c:f>'Call Sensitivity'!$K$19:$K$157</c:f>
              <c:numCache>
                <c:formatCode>General</c:formatCode>
                <c:ptCount val="139"/>
                <c:pt idx="0">
                  <c:v>6.5262055227357192E-5</c:v>
                </c:pt>
                <c:pt idx="1">
                  <c:v>2.1414133430025087E-2</c:v>
                </c:pt>
                <c:pt idx="2">
                  <c:v>0.17961844695371654</c:v>
                </c:pt>
                <c:pt idx="3">
                  <c:v>0.50629786302501512</c:v>
                </c:pt>
                <c:pt idx="4">
                  <c:v>0.91706039247196347</c:v>
                </c:pt>
                <c:pt idx="5">
                  <c:v>1.3396328098439376</c:v>
                </c:pt>
                <c:pt idx="6">
                  <c:v>1.7393117743934001</c:v>
                </c:pt>
                <c:pt idx="7">
                  <c:v>2.1049148277849778</c:v>
                </c:pt>
                <c:pt idx="8">
                  <c:v>2.4361521115681</c:v>
                </c:pt>
                <c:pt idx="9">
                  <c:v>2.7368971436092275</c:v>
                </c:pt>
                <c:pt idx="10">
                  <c:v>3.0121283215390031</c:v>
                </c:pt>
                <c:pt idx="11">
                  <c:v>3.2666749403126176</c:v>
                </c:pt>
                <c:pt idx="12">
                  <c:v>3.5047771444166953</c:v>
                </c:pt>
                <c:pt idx="13">
                  <c:v>3.7299925960386022</c:v>
                </c:pt>
                <c:pt idx="14">
                  <c:v>3.945239475376594</c:v>
                </c:pt>
                <c:pt idx="15">
                  <c:v>4.1528839884964315</c:v>
                </c:pt>
                <c:pt idx="16">
                  <c:v>4.3548340162223944</c:v>
                </c:pt>
                <c:pt idx="17">
                  <c:v>4.552624271313622</c:v>
                </c:pt>
                <c:pt idx="18">
                  <c:v>4.7474886239164613</c:v>
                </c:pt>
                <c:pt idx="19">
                  <c:v>4.9404195039695367</c:v>
                </c:pt>
                <c:pt idx="20">
                  <c:v>5.1322158506178512</c:v>
                </c:pt>
                <c:pt idx="21">
                  <c:v>5.3235214773674935</c:v>
                </c:pt>
                <c:pt idx="22">
                  <c:v>5.5148556476776394</c:v>
                </c:pt>
                <c:pt idx="23">
                  <c:v>5.7066374167874505</c:v>
                </c:pt>
                <c:pt idx="24">
                  <c:v>5.8992050244061698</c:v>
                </c:pt>
                <c:pt idx="25">
                  <c:v>6.0928313721768044</c:v>
                </c:pt>
                <c:pt idx="26">
                  <c:v>6.2877364065883086</c:v>
                </c:pt>
                <c:pt idx="27">
                  <c:v>6.4840970540541267</c:v>
                </c:pt>
                <c:pt idx="28">
                  <c:v>6.6820552161259359</c:v>
                </c:pt>
                <c:pt idx="29">
                  <c:v>6.8817242235136566</c:v>
                </c:pt>
                <c:pt idx="30">
                  <c:v>7.0831940620515272</c:v>
                </c:pt>
                <c:pt idx="31">
                  <c:v>7.2865356170179849</c:v>
                </c:pt>
                <c:pt idx="32">
                  <c:v>7.4918041301906406</c:v>
                </c:pt>
                <c:pt idx="33">
                  <c:v>7.6990420234237229</c:v>
                </c:pt>
                <c:pt idx="34">
                  <c:v>7.9082812108071998</c:v>
                </c:pt>
                <c:pt idx="35">
                  <c:v>8.119544996606594</c:v>
                </c:pt>
                <c:pt idx="36">
                  <c:v>8.332849636649172</c:v>
                </c:pt>
                <c:pt idx="37">
                  <c:v>8.5482056254256502</c:v>
                </c:pt>
                <c:pt idx="38">
                  <c:v>8.765618759001006</c:v>
                </c:pt>
                <c:pt idx="39">
                  <c:v>8.9850910141668585</c:v>
                </c:pt>
                <c:pt idx="40">
                  <c:v>9.2066212765757722</c:v>
                </c:pt>
                <c:pt idx="41">
                  <c:v>9.4302059444528012</c:v>
                </c:pt>
                <c:pt idx="42">
                  <c:v>9.6558394295533212</c:v>
                </c:pt>
                <c:pt idx="43">
                  <c:v>9.8835145730749741</c:v>
                </c:pt>
                <c:pt idx="44">
                  <c:v>10.113222991034402</c:v>
                </c:pt>
                <c:pt idx="45">
                  <c:v>10.344955361032737</c:v>
                </c:pt>
                <c:pt idx="46">
                  <c:v>10.578701660232714</c:v>
                </c:pt>
                <c:pt idx="47">
                  <c:v>10.814451362660121</c:v>
                </c:pt>
                <c:pt idx="48">
                  <c:v>11.052193602545227</c:v>
                </c:pt>
                <c:pt idx="49">
                  <c:v>11.291917309275764</c:v>
                </c:pt>
                <c:pt idx="50">
                  <c:v>11.533611318594197</c:v>
                </c:pt>
                <c:pt idx="51">
                  <c:v>11.777264463897939</c:v>
                </c:pt>
                <c:pt idx="52">
                  <c:v>12.022865650864016</c:v>
                </c:pt>
                <c:pt idx="53">
                  <c:v>12.270403918091054</c:v>
                </c:pt>
                <c:pt idx="54">
                  <c:v>12.519868486013928</c:v>
                </c:pt>
                <c:pt idx="55">
                  <c:v>12.771248795982981</c:v>
                </c:pt>
                <c:pt idx="56">
                  <c:v>13.02453454109679</c:v>
                </c:pt>
                <c:pt idx="57">
                  <c:v>13.279715690124423</c:v>
                </c:pt>
                <c:pt idx="58">
                  <c:v>13.536782505642542</c:v>
                </c:pt>
                <c:pt idx="59">
                  <c:v>13.795725557335478</c:v>
                </c:pt>
                <c:pt idx="60">
                  <c:v>14.056535731257977</c:v>
                </c:pt>
                <c:pt idx="61">
                  <c:v>14.319204235736029</c:v>
                </c:pt>
                <c:pt idx="62">
                  <c:v>14.583722604475851</c:v>
                </c:pt>
                <c:pt idx="63">
                  <c:v>14.85008269736309</c:v>
                </c:pt>
                <c:pt idx="64">
                  <c:v>15.118276699359271</c:v>
                </c:pt>
                <c:pt idx="65">
                  <c:v>15.388297117840313</c:v>
                </c:pt>
                <c:pt idx="66">
                  <c:v>15.660136778667255</c:v>
                </c:pt>
                <c:pt idx="67">
                  <c:v>15.93378882123586</c:v>
                </c:pt>
                <c:pt idx="68">
                  <c:v>16.209246692712295</c:v>
                </c:pt>
                <c:pt idx="69">
                  <c:v>16.48650414162956</c:v>
                </c:pt>
                <c:pt idx="70">
                  <c:v>16.765555210993316</c:v>
                </c:pt>
                <c:pt idx="71">
                  <c:v>17.046394231020159</c:v>
                </c:pt>
                <c:pt idx="72">
                  <c:v>17.329015811613377</c:v>
                </c:pt>
                <c:pt idx="73">
                  <c:v>17.613414834663121</c:v>
                </c:pt>
                <c:pt idx="74">
                  <c:v>17.899586446244232</c:v>
                </c:pt>
                <c:pt idx="75">
                  <c:v>18.187526048772302</c:v>
                </c:pt>
                <c:pt idx="76">
                  <c:v>18.477229293168598</c:v>
                </c:pt>
                <c:pt idx="77">
                  <c:v>18.768692071074724</c:v>
                </c:pt>
                <c:pt idx="78">
                  <c:v>19.061910507151985</c:v>
                </c:pt>
                <c:pt idx="79">
                  <c:v>19.356880951491842</c:v>
                </c:pt>
                <c:pt idx="80">
                  <c:v>19.653599972160901</c:v>
                </c:pt>
                <c:pt idx="81">
                  <c:v>19.95206434789667</c:v>
                </c:pt>
                <c:pt idx="82">
                  <c:v>20.252271060969139</c:v>
                </c:pt>
                <c:pt idx="83">
                  <c:v>20.554217290217199</c:v>
                </c:pt>
                <c:pt idx="84">
                  <c:v>20.857900404268406</c:v>
                </c:pt>
                <c:pt idx="85">
                  <c:v>21.163317954947193</c:v>
                </c:pt>
                <c:pt idx="86">
                  <c:v>21.470467670874388</c:v>
                </c:pt>
                <c:pt idx="87">
                  <c:v>21.779347451260087</c:v>
                </c:pt>
                <c:pt idx="88">
                  <c:v>22.089955359890077</c:v>
                </c:pt>
                <c:pt idx="89">
                  <c:v>22.402289619304696</c:v>
                </c:pt>
                <c:pt idx="90">
                  <c:v>22.716348605168687</c:v>
                </c:pt>
                <c:pt idx="91">
                  <c:v>23.0321308408292</c:v>
                </c:pt>
                <c:pt idx="92">
                  <c:v>23.349634992058874</c:v>
                </c:pt>
                <c:pt idx="93">
                  <c:v>23.668859861980284</c:v>
                </c:pt>
                <c:pt idx="94">
                  <c:v>23.989804386167851</c:v>
                </c:pt>
                <c:pt idx="95">
                  <c:v>24.312467627922295</c:v>
                </c:pt>
                <c:pt idx="96">
                  <c:v>24.636848773714021</c:v>
                </c:pt>
                <c:pt idx="97">
                  <c:v>24.962947128789519</c:v>
                </c:pt>
                <c:pt idx="98">
                  <c:v>25.290762112937152</c:v>
                </c:pt>
                <c:pt idx="99">
                  <c:v>25.620293256406214</c:v>
                </c:pt>
                <c:pt idx="100">
                  <c:v>25.95154019597517</c:v>
                </c:pt>
                <c:pt idx="101">
                  <c:v>26.284502671164155</c:v>
                </c:pt>
                <c:pt idx="102">
                  <c:v>26.61918052058612</c:v>
                </c:pt>
                <c:pt idx="103">
                  <c:v>26.955573678432597</c:v>
                </c:pt>
                <c:pt idx="104">
                  <c:v>27.293682171088903</c:v>
                </c:pt>
                <c:pt idx="105">
                  <c:v>27.633506113874564</c:v>
                </c:pt>
                <c:pt idx="106">
                  <c:v>27.975045707903575</c:v>
                </c:pt>
                <c:pt idx="107">
                  <c:v>28.318301237060854</c:v>
                </c:pt>
                <c:pt idx="108">
                  <c:v>28.663273065090696</c:v>
                </c:pt>
                <c:pt idx="109">
                  <c:v>29.009961632791683</c:v>
                </c:pt>
                <c:pt idx="110">
                  <c:v>29.358367455316017</c:v>
                </c:pt>
                <c:pt idx="111">
                  <c:v>29.708491119567341</c:v>
                </c:pt>
                <c:pt idx="112">
                  <c:v>30.060333281694565</c:v>
                </c:pt>
                <c:pt idx="113">
                  <c:v>30.413894664677613</c:v>
                </c:pt>
                <c:pt idx="114">
                  <c:v>30.7691760560012</c:v>
                </c:pt>
                <c:pt idx="115">
                  <c:v>31.126178305413678</c:v>
                </c:pt>
                <c:pt idx="116">
                  <c:v>31.484902322767088</c:v>
                </c:pt>
                <c:pt idx="117">
                  <c:v>31.845349075936578</c:v>
                </c:pt>
                <c:pt idx="118">
                  <c:v>32.207519588813511</c:v>
                </c:pt>
                <c:pt idx="119">
                  <c:v>32.571414939372552</c:v>
                </c:pt>
                <c:pt idx="120">
                  <c:v>32.937036257807073</c:v>
                </c:pt>
                <c:pt idx="121">
                  <c:v>33.304384724731975</c:v>
                </c:pt>
                <c:pt idx="122">
                  <c:v>33.673461569450204</c:v>
                </c:pt>
                <c:pt idx="123">
                  <c:v>34.044268068281298</c:v>
                </c:pt>
                <c:pt idx="124">
                  <c:v>34.416805542949184</c:v>
                </c:pt>
                <c:pt idx="125">
                  <c:v>34.791075359026216</c:v>
                </c:pt>
                <c:pt idx="126">
                  <c:v>35.167078924432552</c:v>
                </c:pt>
                <c:pt idx="127">
                  <c:v>35.544817687987752</c:v>
                </c:pt>
                <c:pt idx="128">
                  <c:v>35.924293138012864</c:v>
                </c:pt>
                <c:pt idx="129">
                  <c:v>36.305506800981178</c:v>
                </c:pt>
                <c:pt idx="130">
                  <c:v>36.688460240215235</c:v>
                </c:pt>
                <c:pt idx="131">
                  <c:v>37.073155054628984</c:v>
                </c:pt>
                <c:pt idx="132">
                  <c:v>37.45959287751262</c:v>
                </c:pt>
                <c:pt idx="133">
                  <c:v>37.847775375359632</c:v>
                </c:pt>
                <c:pt idx="134">
                  <c:v>38.237704246732505</c:v>
                </c:pt>
                <c:pt idx="135">
                  <c:v>38.629381221167606</c:v>
                </c:pt>
                <c:pt idx="136">
                  <c:v>39.022808058116503</c:v>
                </c:pt>
                <c:pt idx="137">
                  <c:v>39.41798654592246</c:v>
                </c:pt>
                <c:pt idx="138">
                  <c:v>39.814918500832157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8D-5E46-B42E-931CDBDCD5E2}"/>
            </c:ext>
          </c:extLst>
        </c:ser>
        <c:ser>
          <c:idx val="1"/>
          <c:order val="1"/>
          <c:tx>
            <c:strRef>
              <c:f>'Call Sensitivity'!$L$18</c:f>
              <c:strCache>
                <c:ptCount val="1"/>
                <c:pt idx="0">
                  <c:v>BSM Call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'Call Sensitivity'!$J$20:$J$157</c:f>
              <c:numCache>
                <c:formatCode>General</c:formatCode>
                <c:ptCount val="138"/>
                <c:pt idx="0">
                  <c:v>1.4999999999999999E-2</c:v>
                </c:pt>
                <c:pt idx="1">
                  <c:v>0.02</c:v>
                </c:pt>
                <c:pt idx="2">
                  <c:v>2.5000000000000001E-2</c:v>
                </c:pt>
                <c:pt idx="3">
                  <c:v>0.03</c:v>
                </c:pt>
                <c:pt idx="4">
                  <c:v>3.5000000000000003E-2</c:v>
                </c:pt>
                <c:pt idx="5">
                  <c:v>0.04</c:v>
                </c:pt>
                <c:pt idx="6">
                  <c:v>4.4999999999999998E-2</c:v>
                </c:pt>
                <c:pt idx="7">
                  <c:v>0.05</c:v>
                </c:pt>
                <c:pt idx="8">
                  <c:v>5.5E-2</c:v>
                </c:pt>
                <c:pt idx="9">
                  <c:v>0.06</c:v>
                </c:pt>
                <c:pt idx="10">
                  <c:v>6.5000000000000002E-2</c:v>
                </c:pt>
                <c:pt idx="11">
                  <c:v>7.0000000000000007E-2</c:v>
                </c:pt>
                <c:pt idx="12">
                  <c:v>7.4999999999999997E-2</c:v>
                </c:pt>
                <c:pt idx="13">
                  <c:v>0.08</c:v>
                </c:pt>
                <c:pt idx="14">
                  <c:v>8.5000000000000006E-2</c:v>
                </c:pt>
                <c:pt idx="15">
                  <c:v>0.09</c:v>
                </c:pt>
                <c:pt idx="16">
                  <c:v>9.5000000000000001E-2</c:v>
                </c:pt>
                <c:pt idx="17">
                  <c:v>0.1</c:v>
                </c:pt>
                <c:pt idx="18">
                  <c:v>0.105</c:v>
                </c:pt>
                <c:pt idx="19">
                  <c:v>0.11</c:v>
                </c:pt>
                <c:pt idx="20">
                  <c:v>0.115</c:v>
                </c:pt>
                <c:pt idx="21">
                  <c:v>0.12</c:v>
                </c:pt>
                <c:pt idx="22">
                  <c:v>0.125</c:v>
                </c:pt>
                <c:pt idx="23">
                  <c:v>0.13</c:v>
                </c:pt>
                <c:pt idx="24">
                  <c:v>0.13500000000000001</c:v>
                </c:pt>
                <c:pt idx="25">
                  <c:v>0.14000000000000001</c:v>
                </c:pt>
                <c:pt idx="26">
                  <c:v>0.14499999999999999</c:v>
                </c:pt>
                <c:pt idx="27">
                  <c:v>0.15</c:v>
                </c:pt>
                <c:pt idx="28">
                  <c:v>0.155</c:v>
                </c:pt>
                <c:pt idx="29">
                  <c:v>0.16</c:v>
                </c:pt>
                <c:pt idx="30">
                  <c:v>0.16500000000000001</c:v>
                </c:pt>
                <c:pt idx="31">
                  <c:v>0.17</c:v>
                </c:pt>
                <c:pt idx="32">
                  <c:v>0.17499999999999999</c:v>
                </c:pt>
                <c:pt idx="33">
                  <c:v>0.18</c:v>
                </c:pt>
                <c:pt idx="34">
                  <c:v>0.185</c:v>
                </c:pt>
                <c:pt idx="35">
                  <c:v>0.19</c:v>
                </c:pt>
                <c:pt idx="36">
                  <c:v>0.19500000000000001</c:v>
                </c:pt>
                <c:pt idx="37">
                  <c:v>0.2</c:v>
                </c:pt>
                <c:pt idx="38">
                  <c:v>0.20499999999999999</c:v>
                </c:pt>
                <c:pt idx="39">
                  <c:v>0.21</c:v>
                </c:pt>
                <c:pt idx="40">
                  <c:v>0.215</c:v>
                </c:pt>
                <c:pt idx="41">
                  <c:v>0.22</c:v>
                </c:pt>
                <c:pt idx="42">
                  <c:v>0.22500000000000001</c:v>
                </c:pt>
                <c:pt idx="43">
                  <c:v>0.23</c:v>
                </c:pt>
                <c:pt idx="44">
                  <c:v>0.23499999999999999</c:v>
                </c:pt>
                <c:pt idx="45">
                  <c:v>0.24</c:v>
                </c:pt>
                <c:pt idx="46">
                  <c:v>0.245</c:v>
                </c:pt>
                <c:pt idx="47">
                  <c:v>0.25</c:v>
                </c:pt>
                <c:pt idx="48">
                  <c:v>0.255</c:v>
                </c:pt>
                <c:pt idx="49">
                  <c:v>0.26</c:v>
                </c:pt>
                <c:pt idx="50">
                  <c:v>0.26500000000000001</c:v>
                </c:pt>
                <c:pt idx="51">
                  <c:v>0.27</c:v>
                </c:pt>
                <c:pt idx="52">
                  <c:v>0.27500000000000002</c:v>
                </c:pt>
                <c:pt idx="53">
                  <c:v>0.28000000000000003</c:v>
                </c:pt>
                <c:pt idx="54">
                  <c:v>0.28499999999999998</c:v>
                </c:pt>
                <c:pt idx="55">
                  <c:v>0.28999999999999998</c:v>
                </c:pt>
                <c:pt idx="56">
                  <c:v>0.29499999999999998</c:v>
                </c:pt>
                <c:pt idx="57">
                  <c:v>0.3</c:v>
                </c:pt>
                <c:pt idx="58">
                  <c:v>0.30499999999999999</c:v>
                </c:pt>
                <c:pt idx="59">
                  <c:v>0.31</c:v>
                </c:pt>
                <c:pt idx="60">
                  <c:v>0.315</c:v>
                </c:pt>
                <c:pt idx="61">
                  <c:v>0.32</c:v>
                </c:pt>
                <c:pt idx="62">
                  <c:v>0.32500000000000001</c:v>
                </c:pt>
                <c:pt idx="63">
                  <c:v>0.33</c:v>
                </c:pt>
                <c:pt idx="64">
                  <c:v>0.33500000000000002</c:v>
                </c:pt>
                <c:pt idx="65">
                  <c:v>0.34</c:v>
                </c:pt>
                <c:pt idx="66">
                  <c:v>0.34499999999999997</c:v>
                </c:pt>
                <c:pt idx="67">
                  <c:v>0.35</c:v>
                </c:pt>
                <c:pt idx="68">
                  <c:v>0.35499999999999998</c:v>
                </c:pt>
                <c:pt idx="69">
                  <c:v>0.36</c:v>
                </c:pt>
                <c:pt idx="70">
                  <c:v>0.36499999999999999</c:v>
                </c:pt>
                <c:pt idx="71">
                  <c:v>0.37</c:v>
                </c:pt>
                <c:pt idx="72">
                  <c:v>0.375</c:v>
                </c:pt>
                <c:pt idx="73">
                  <c:v>0.38</c:v>
                </c:pt>
                <c:pt idx="74">
                  <c:v>0.38500000000000001</c:v>
                </c:pt>
                <c:pt idx="75">
                  <c:v>0.39</c:v>
                </c:pt>
                <c:pt idx="76">
                  <c:v>0.39500000000000002</c:v>
                </c:pt>
                <c:pt idx="77">
                  <c:v>0.4</c:v>
                </c:pt>
                <c:pt idx="78">
                  <c:v>0.40500000000000003</c:v>
                </c:pt>
                <c:pt idx="79">
                  <c:v>0.41</c:v>
                </c:pt>
                <c:pt idx="80">
                  <c:v>0.41499999999999998</c:v>
                </c:pt>
                <c:pt idx="81">
                  <c:v>0.42</c:v>
                </c:pt>
                <c:pt idx="82">
                  <c:v>0.42499999999999999</c:v>
                </c:pt>
                <c:pt idx="83">
                  <c:v>0.43</c:v>
                </c:pt>
                <c:pt idx="84">
                  <c:v>0.435</c:v>
                </c:pt>
                <c:pt idx="85">
                  <c:v>0.44</c:v>
                </c:pt>
                <c:pt idx="86">
                  <c:v>0.44500000000000001</c:v>
                </c:pt>
                <c:pt idx="87">
                  <c:v>0.45</c:v>
                </c:pt>
                <c:pt idx="88">
                  <c:v>0.45500000000000002</c:v>
                </c:pt>
                <c:pt idx="89">
                  <c:v>0.46</c:v>
                </c:pt>
                <c:pt idx="90">
                  <c:v>0.46500000000000002</c:v>
                </c:pt>
                <c:pt idx="91">
                  <c:v>0.47</c:v>
                </c:pt>
                <c:pt idx="92">
                  <c:v>0.47499999999999998</c:v>
                </c:pt>
                <c:pt idx="93">
                  <c:v>0.48</c:v>
                </c:pt>
                <c:pt idx="94">
                  <c:v>0.48499999999999999</c:v>
                </c:pt>
                <c:pt idx="95">
                  <c:v>0.49</c:v>
                </c:pt>
                <c:pt idx="96">
                  <c:v>0.495</c:v>
                </c:pt>
                <c:pt idx="97">
                  <c:v>0.5</c:v>
                </c:pt>
                <c:pt idx="98">
                  <c:v>0.505</c:v>
                </c:pt>
                <c:pt idx="99">
                  <c:v>0.51</c:v>
                </c:pt>
                <c:pt idx="100">
                  <c:v>0.51500000000000001</c:v>
                </c:pt>
                <c:pt idx="101">
                  <c:v>0.52</c:v>
                </c:pt>
                <c:pt idx="102">
                  <c:v>0.52500000000000002</c:v>
                </c:pt>
                <c:pt idx="103">
                  <c:v>0.53</c:v>
                </c:pt>
                <c:pt idx="104">
                  <c:v>0.53500000000000003</c:v>
                </c:pt>
                <c:pt idx="105">
                  <c:v>0.54</c:v>
                </c:pt>
                <c:pt idx="106">
                  <c:v>0.54500000000000004</c:v>
                </c:pt>
                <c:pt idx="107">
                  <c:v>0.55000000000000004</c:v>
                </c:pt>
                <c:pt idx="108">
                  <c:v>0.55500000000000005</c:v>
                </c:pt>
                <c:pt idx="109">
                  <c:v>0.56000000000000005</c:v>
                </c:pt>
                <c:pt idx="110">
                  <c:v>0.56499999999999995</c:v>
                </c:pt>
                <c:pt idx="111">
                  <c:v>0.56999999999999995</c:v>
                </c:pt>
                <c:pt idx="112">
                  <c:v>0.57499999999999996</c:v>
                </c:pt>
                <c:pt idx="113">
                  <c:v>0.57999999999999996</c:v>
                </c:pt>
                <c:pt idx="114">
                  <c:v>0.58499999999999996</c:v>
                </c:pt>
                <c:pt idx="115">
                  <c:v>0.59</c:v>
                </c:pt>
                <c:pt idx="116">
                  <c:v>0.59499999999999997</c:v>
                </c:pt>
                <c:pt idx="117">
                  <c:v>0.6</c:v>
                </c:pt>
                <c:pt idx="118">
                  <c:v>0.60499999999999998</c:v>
                </c:pt>
                <c:pt idx="119">
                  <c:v>0.61</c:v>
                </c:pt>
                <c:pt idx="120">
                  <c:v>0.61499999999999999</c:v>
                </c:pt>
                <c:pt idx="121">
                  <c:v>0.62</c:v>
                </c:pt>
                <c:pt idx="122">
                  <c:v>0.625</c:v>
                </c:pt>
                <c:pt idx="123">
                  <c:v>0.63</c:v>
                </c:pt>
                <c:pt idx="124">
                  <c:v>0.63500000000000001</c:v>
                </c:pt>
                <c:pt idx="125">
                  <c:v>0.64</c:v>
                </c:pt>
                <c:pt idx="126">
                  <c:v>0.64500000000000002</c:v>
                </c:pt>
                <c:pt idx="127">
                  <c:v>0.65</c:v>
                </c:pt>
                <c:pt idx="128">
                  <c:v>0.65500000000000003</c:v>
                </c:pt>
                <c:pt idx="129">
                  <c:v>0.66</c:v>
                </c:pt>
                <c:pt idx="130">
                  <c:v>0.66500000000000004</c:v>
                </c:pt>
                <c:pt idx="131">
                  <c:v>0.67</c:v>
                </c:pt>
                <c:pt idx="132">
                  <c:v>0.67500000000000004</c:v>
                </c:pt>
                <c:pt idx="133">
                  <c:v>0.68</c:v>
                </c:pt>
                <c:pt idx="134">
                  <c:v>0.68500000000000005</c:v>
                </c:pt>
                <c:pt idx="135">
                  <c:v>0.69</c:v>
                </c:pt>
                <c:pt idx="136">
                  <c:v>0.69499999999999995</c:v>
                </c:pt>
                <c:pt idx="137">
                  <c:v>0.7</c:v>
                </c:pt>
              </c:numCache>
            </c:numRef>
          </c:cat>
          <c:val>
            <c:numRef>
              <c:f>'Call Sensitivity'!$L$19:$L$157</c:f>
              <c:numCache>
                <c:formatCode>General</c:formatCode>
                <c:ptCount val="139"/>
                <c:pt idx="0">
                  <c:v>14.877057549928594</c:v>
                </c:pt>
                <c:pt idx="1">
                  <c:v>14.877057549928594</c:v>
                </c:pt>
                <c:pt idx="2">
                  <c:v>14.877057549928651</c:v>
                </c:pt>
                <c:pt idx="3">
                  <c:v>14.8770575512128</c:v>
                </c:pt>
                <c:pt idx="4">
                  <c:v>14.877057924900683</c:v>
                </c:pt>
                <c:pt idx="5">
                  <c:v>14.877070468460687</c:v>
                </c:pt>
                <c:pt idx="6">
                  <c:v>14.877197521483708</c:v>
                </c:pt>
                <c:pt idx="7">
                  <c:v>14.877822511182572</c:v>
                </c:pt>
                <c:pt idx="8">
                  <c:v>14.879768631524215</c:v>
                </c:pt>
                <c:pt idx="9">
                  <c:v>14.884254605774515</c:v>
                </c:pt>
                <c:pt idx="10">
                  <c:v>14.892681987512759</c:v>
                </c:pt>
                <c:pt idx="11">
                  <c:v>14.906398026397653</c:v>
                </c:pt>
                <c:pt idx="12">
                  <c:v>14.926530426715303</c:v>
                </c:pt>
                <c:pt idx="13">
                  <c:v>14.953913076374448</c:v>
                </c:pt>
                <c:pt idx="14">
                  <c:v>14.989080861062291</c:v>
                </c:pt>
                <c:pt idx="15">
                  <c:v>15.032303733705533</c:v>
                </c:pt>
                <c:pt idx="16">
                  <c:v>15.08363672324856</c:v>
                </c:pt>
                <c:pt idx="17">
                  <c:v>15.142971632828761</c:v>
                </c:pt>
                <c:pt idx="18">
                  <c:v>15.210083301374098</c:v>
                </c:pt>
                <c:pt idx="19">
                  <c:v>15.284667788292978</c:v>
                </c:pt>
                <c:pt idx="20">
                  <c:v>15.366372268218896</c:v>
                </c:pt>
                <c:pt idx="21">
                  <c:v>15.454817538241201</c:v>
                </c:pt>
                <c:pt idx="22">
                  <c:v>15.549614417974567</c:v>
                </c:pt>
                <c:pt idx="23">
                  <c:v>15.650375330391824</c:v>
                </c:pt>
                <c:pt idx="24">
                  <c:v>15.756722199284098</c:v>
                </c:pt>
                <c:pt idx="25">
                  <c:v>15.868291598320695</c:v>
                </c:pt>
                <c:pt idx="26">
                  <c:v>15.984737889794445</c:v>
                </c:pt>
                <c:pt idx="27">
                  <c:v>16.105734919764444</c:v>
                </c:pt>
                <c:pt idx="28">
                  <c:v>16.230976696205701</c:v>
                </c:pt>
                <c:pt idx="29">
                  <c:v>16.360177366484422</c:v>
                </c:pt>
                <c:pt idx="30">
                  <c:v>16.493070725773578</c:v>
                </c:pt>
                <c:pt idx="31">
                  <c:v>16.629409424074368</c:v>
                </c:pt>
                <c:pt idx="32">
                  <c:v>16.768963991825245</c:v>
                </c:pt>
                <c:pt idx="33">
                  <c:v>16.911521768869861</c:v>
                </c:pt>
                <c:pt idx="34">
                  <c:v>17.056885795760394</c:v>
                </c:pt>
                <c:pt idx="35">
                  <c:v>17.204873707612748</c:v>
                </c:pt>
                <c:pt idx="36">
                  <c:v>17.355316657184872</c:v>
                </c:pt>
                <c:pt idx="37">
                  <c:v>17.508058284143161</c:v>
                </c:pt>
                <c:pt idx="38">
                  <c:v>17.662953740590439</c:v>
                </c:pt>
                <c:pt idx="39">
                  <c:v>17.8198687780923</c:v>
                </c:pt>
                <c:pt idx="40">
                  <c:v>17.978678898090052</c:v>
                </c:pt>
                <c:pt idx="41">
                  <c:v>18.139268565320961</c:v>
                </c:pt>
                <c:pt idx="42">
                  <c:v>18.301530482371675</c:v>
                </c:pt>
                <c:pt idx="43">
                  <c:v>18.465364922549782</c:v>
                </c:pt>
                <c:pt idx="44">
                  <c:v>18.630679117709334</c:v>
                </c:pt>
                <c:pt idx="45">
                  <c:v>18.797386697390579</c:v>
                </c:pt>
                <c:pt idx="46">
                  <c:v>18.965407175547938</c:v>
                </c:pt>
                <c:pt idx="47">
                  <c:v>19.134665481181514</c:v>
                </c:pt>
                <c:pt idx="48">
                  <c:v>19.305091529311397</c:v>
                </c:pt>
                <c:pt idx="49">
                  <c:v>19.476619828911332</c:v>
                </c:pt>
                <c:pt idx="50">
                  <c:v>19.649189124623184</c:v>
                </c:pt>
                <c:pt idx="51">
                  <c:v>19.822742069294769</c:v>
                </c:pt>
                <c:pt idx="52">
                  <c:v>19.997224924606627</c:v>
                </c:pt>
                <c:pt idx="53">
                  <c:v>20.172587287273132</c:v>
                </c:pt>
                <c:pt idx="54">
                  <c:v>20.348781838515258</c:v>
                </c:pt>
                <c:pt idx="55">
                  <c:v>20.525764114701637</c:v>
                </c:pt>
                <c:pt idx="56">
                  <c:v>20.703492297243095</c:v>
                </c:pt>
                <c:pt idx="57">
                  <c:v>20.881927019998294</c:v>
                </c:pt>
                <c:pt idx="58">
                  <c:v>21.061031192609683</c:v>
                </c:pt>
                <c:pt idx="59">
                  <c:v>21.240769838334764</c:v>
                </c:pt>
                <c:pt idx="60">
                  <c:v>21.421109945072615</c:v>
                </c:pt>
                <c:pt idx="61">
                  <c:v>21.602020328407129</c:v>
                </c:pt>
                <c:pt idx="62">
                  <c:v>21.783471505599756</c:v>
                </c:pt>
                <c:pt idx="63">
                  <c:v>21.965435579564961</c:v>
                </c:pt>
                <c:pt idx="64">
                  <c:v>22.147886131952433</c:v>
                </c:pt>
                <c:pt idx="65">
                  <c:v>22.330798124542568</c:v>
                </c:pt>
                <c:pt idx="66">
                  <c:v>22.514147808236025</c:v>
                </c:pt>
                <c:pt idx="67">
                  <c:v>22.697912638985301</c:v>
                </c:pt>
                <c:pt idx="68">
                  <c:v>22.882071200076709</c:v>
                </c:pt>
                <c:pt idx="69">
                  <c:v>23.066603130226191</c:v>
                </c:pt>
                <c:pt idx="70">
                  <c:v>23.251489057001429</c:v>
                </c:pt>
                <c:pt idx="71">
                  <c:v>23.436710535127538</c:v>
                </c:pt>
                <c:pt idx="72">
                  <c:v>23.622249989273598</c:v>
                </c:pt>
                <c:pt idx="73">
                  <c:v>23.808090660954022</c:v>
                </c:pt>
                <c:pt idx="74">
                  <c:v>23.994216559211267</c:v>
                </c:pt>
                <c:pt idx="75">
                  <c:v>24.180612414775908</c:v>
                </c:pt>
                <c:pt idx="76">
                  <c:v>24.367263637427975</c:v>
                </c:pt>
                <c:pt idx="77">
                  <c:v>24.554156276306045</c:v>
                </c:pt>
                <c:pt idx="78">
                  <c:v>24.741276982934274</c:v>
                </c:pt>
                <c:pt idx="79">
                  <c:v>24.928612976756341</c:v>
                </c:pt>
                <c:pt idx="80">
                  <c:v>25.116152012983861</c:v>
                </c:pt>
                <c:pt idx="81">
                  <c:v>25.303882352582988</c:v>
                </c:pt>
                <c:pt idx="82">
                  <c:v>25.491792734238018</c:v>
                </c:pt>
                <c:pt idx="83">
                  <c:v>25.679872348143945</c:v>
                </c:pt>
                <c:pt idx="84">
                  <c:v>25.868110811492663</c:v>
                </c:pt>
                <c:pt idx="85">
                  <c:v>26.056498145528245</c:v>
                </c:pt>
                <c:pt idx="86">
                  <c:v>26.245024754057191</c:v>
                </c:pt>
                <c:pt idx="87">
                  <c:v>26.433681403308547</c:v>
                </c:pt>
                <c:pt idx="88">
                  <c:v>26.622459203047512</c:v>
                </c:pt>
                <c:pt idx="89">
                  <c:v>26.811349588853531</c:v>
                </c:pt>
                <c:pt idx="90">
                  <c:v>27.00034430548132</c:v>
                </c:pt>
                <c:pt idx="91">
                  <c:v>27.189435391228869</c:v>
                </c:pt>
                <c:pt idx="92">
                  <c:v>27.378615163243659</c:v>
                </c:pt>
                <c:pt idx="93">
                  <c:v>27.56787620370222</c:v>
                </c:pt>
                <c:pt idx="94">
                  <c:v>27.757211346804169</c:v>
                </c:pt>
                <c:pt idx="95">
                  <c:v>27.946613666525629</c:v>
                </c:pt>
                <c:pt idx="96">
                  <c:v>28.13607646508185</c:v>
                </c:pt>
                <c:pt idx="97">
                  <c:v>28.325593262051711</c:v>
                </c:pt>
                <c:pt idx="98">
                  <c:v>28.515157784120724</c:v>
                </c:pt>
                <c:pt idx="99">
                  <c:v>28.704763955402711</c:v>
                </c:pt>
                <c:pt idx="100">
                  <c:v>28.894405888302487</c:v>
                </c:pt>
                <c:pt idx="101">
                  <c:v>29.084077874885111</c:v>
                </c:pt>
                <c:pt idx="102">
                  <c:v>29.273774378719473</c:v>
                </c:pt>
                <c:pt idx="103">
                  <c:v>29.4634900271666</c:v>
                </c:pt>
                <c:pt idx="104">
                  <c:v>29.653219604084804</c:v>
                </c:pt>
                <c:pt idx="105">
                  <c:v>29.842958042925822</c:v>
                </c:pt>
                <c:pt idx="106">
                  <c:v>30.032700420198154</c:v>
                </c:pt>
                <c:pt idx="107">
                  <c:v>30.22244194927508</c:v>
                </c:pt>
                <c:pt idx="108">
                  <c:v>30.412177974526671</c:v>
                </c:pt>
                <c:pt idx="109">
                  <c:v>30.601903965756222</c:v>
                </c:pt>
                <c:pt idx="110">
                  <c:v>30.791615512923237</c:v>
                </c:pt>
                <c:pt idx="111">
                  <c:v>30.981308321135906</c:v>
                </c:pt>
                <c:pt idx="112">
                  <c:v>31.17097820589737</c:v>
                </c:pt>
                <c:pt idx="113">
                  <c:v>31.360621088590975</c:v>
                </c:pt>
                <c:pt idx="114">
                  <c:v>31.550232992190949</c:v>
                </c:pt>
                <c:pt idx="115">
                  <c:v>31.739810037185315</c:v>
                </c:pt>
                <c:pt idx="116">
                  <c:v>31.929348437699225</c:v>
                </c:pt>
                <c:pt idx="117">
                  <c:v>32.118844497807473</c:v>
                </c:pt>
                <c:pt idx="118">
                  <c:v>32.308294608025307</c:v>
                </c:pt>
                <c:pt idx="119">
                  <c:v>32.49769524196801</c:v>
                </c:pt>
                <c:pt idx="120">
                  <c:v>32.687042953169836</c:v>
                </c:pt>
                <c:pt idx="121">
                  <c:v>32.876334372053371</c:v>
                </c:pt>
                <c:pt idx="122">
                  <c:v>33.065566203041577</c:v>
                </c:pt>
                <c:pt idx="123">
                  <c:v>33.254735221804495</c:v>
                </c:pt>
                <c:pt idx="124">
                  <c:v>33.443838272633464</c:v>
                </c:pt>
                <c:pt idx="125">
                  <c:v>33.632872265936385</c:v>
                </c:pt>
                <c:pt idx="126">
                  <c:v>33.821834175847151</c:v>
                </c:pt>
                <c:pt idx="127">
                  <c:v>34.01072103794364</c:v>
                </c:pt>
                <c:pt idx="128">
                  <c:v>34.199529947068619</c:v>
                </c:pt>
                <c:pt idx="129">
                  <c:v>34.388258055248002</c:v>
                </c:pt>
                <c:pt idx="130">
                  <c:v>34.576902569701666</c:v>
                </c:pt>
                <c:pt idx="131">
                  <c:v>34.765460750942154</c:v>
                </c:pt>
                <c:pt idx="132">
                  <c:v>34.953929910956724</c:v>
                </c:pt>
                <c:pt idx="133">
                  <c:v>35.142307411468401</c:v>
                </c:pt>
                <c:pt idx="134">
                  <c:v>35.330590662272627</c:v>
                </c:pt>
                <c:pt idx="135">
                  <c:v>35.518777119645023</c:v>
                </c:pt>
                <c:pt idx="136">
                  <c:v>35.70686428481747</c:v>
                </c:pt>
                <c:pt idx="137">
                  <c:v>35.89484970251867</c:v>
                </c:pt>
                <c:pt idx="138">
                  <c:v>36.082730959576296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8D-5E46-B42E-931CDBDCD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749472"/>
        <c:axId val="125751168"/>
      </c:lineChart>
      <c:catAx>
        <c:axId val="125749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51168"/>
        <c:crosses val="autoZero"/>
        <c:auto val="1"/>
        <c:lblAlgn val="ctr"/>
        <c:lblOffset val="100"/>
        <c:noMultiLvlLbl val="0"/>
      </c:catAx>
      <c:valAx>
        <c:axId val="12575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49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Price</a:t>
            </a:r>
            <a:r>
              <a:rPr lang="en-US" baseline="0">
                <a:solidFill>
                  <a:schemeClr val="tx1"/>
                </a:solidFill>
              </a:rPr>
              <a:t> Sensitivity to Time Remaining Until Maturity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'Call Sensitivity'!$O$18</c:f>
              <c:strCache>
                <c:ptCount val="1"/>
                <c:pt idx="0">
                  <c:v>FSLB Call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'Call Sensitivity'!$N$20:$N$41</c:f>
              <c:numCache>
                <c:formatCode>General</c:formatCode>
                <c:ptCount val="22"/>
                <c:pt idx="0">
                  <c:v>4.4999999999999998E-2</c:v>
                </c:pt>
                <c:pt idx="1">
                  <c:v>0.09</c:v>
                </c:pt>
                <c:pt idx="2">
                  <c:v>0.13500000000000001</c:v>
                </c:pt>
                <c:pt idx="3">
                  <c:v>0.18</c:v>
                </c:pt>
                <c:pt idx="4">
                  <c:v>0.22500000000000001</c:v>
                </c:pt>
                <c:pt idx="5">
                  <c:v>0.27</c:v>
                </c:pt>
                <c:pt idx="6">
                  <c:v>0.315</c:v>
                </c:pt>
                <c:pt idx="7">
                  <c:v>0.36</c:v>
                </c:pt>
                <c:pt idx="8">
                  <c:v>0.40500000000000003</c:v>
                </c:pt>
                <c:pt idx="9">
                  <c:v>0.45</c:v>
                </c:pt>
                <c:pt idx="10">
                  <c:v>0.495</c:v>
                </c:pt>
                <c:pt idx="11">
                  <c:v>0.54</c:v>
                </c:pt>
                <c:pt idx="12">
                  <c:v>0.58499999999999996</c:v>
                </c:pt>
                <c:pt idx="13">
                  <c:v>0.63</c:v>
                </c:pt>
                <c:pt idx="14">
                  <c:v>0.67500000000000004</c:v>
                </c:pt>
                <c:pt idx="15">
                  <c:v>0.72</c:v>
                </c:pt>
                <c:pt idx="16">
                  <c:v>0.76500000000000001</c:v>
                </c:pt>
                <c:pt idx="17">
                  <c:v>0.81</c:v>
                </c:pt>
                <c:pt idx="18">
                  <c:v>0.85499999999999998</c:v>
                </c:pt>
                <c:pt idx="19">
                  <c:v>0.9</c:v>
                </c:pt>
                <c:pt idx="20">
                  <c:v>0.94499999999999995</c:v>
                </c:pt>
                <c:pt idx="21">
                  <c:v>0.99</c:v>
                </c:pt>
              </c:numCache>
            </c:numRef>
          </c:cat>
          <c:val>
            <c:numRef>
              <c:f>'Call Sensitivity'!$O$19:$O$41</c:f>
              <c:numCache>
                <c:formatCode>General</c:formatCode>
                <c:ptCount val="23"/>
                <c:pt idx="0">
                  <c:v>14.793737912224012</c:v>
                </c:pt>
                <c:pt idx="1">
                  <c:v>14.231782286641662</c:v>
                </c:pt>
                <c:pt idx="2">
                  <c:v>13.663846405474972</c:v>
                </c:pt>
                <c:pt idx="3">
                  <c:v>13.089485415491859</c:v>
                </c:pt>
                <c:pt idx="4">
                  <c:v>12.508202730441639</c:v>
                </c:pt>
                <c:pt idx="5">
                  <c:v>11.919441360962129</c:v>
                </c:pt>
                <c:pt idx="6">
                  <c:v>11.322573334755504</c:v>
                </c:pt>
                <c:pt idx="7">
                  <c:v>10.716886687957782</c:v>
                </c:pt>
                <c:pt idx="8">
                  <c:v>10.1015693453095</c:v>
                </c:pt>
                <c:pt idx="9">
                  <c:v>9.4756889900992718</c:v>
                </c:pt>
                <c:pt idx="10">
                  <c:v>8.8381677432140897</c:v>
                </c:pt>
                <c:pt idx="11">
                  <c:v>8.1877501221406259</c:v>
                </c:pt>
                <c:pt idx="12">
                  <c:v>7.5229623718330076</c:v>
                </c:pt>
                <c:pt idx="13">
                  <c:v>6.8420610087373568</c:v>
                </c:pt>
                <c:pt idx="14">
                  <c:v>6.1429688287548476</c:v>
                </c:pt>
                <c:pt idx="15">
                  <c:v>5.423199380689451</c:v>
                </c:pt>
                <c:pt idx="16">
                  <c:v>4.6797813863059048</c:v>
                </c:pt>
                <c:pt idx="17">
                  <c:v>3.9092310835758881</c:v>
                </c:pt>
                <c:pt idx="18">
                  <c:v>3.1077513860809423</c:v>
                </c:pt>
                <c:pt idx="19">
                  <c:v>2.2723577893523466</c:v>
                </c:pt>
                <c:pt idx="20">
                  <c:v>1.4061258405277843</c:v>
                </c:pt>
                <c:pt idx="21">
                  <c:v>0.54707162031149326</c:v>
                </c:pt>
                <c:pt idx="22">
                  <c:v>2.3704741749126044E-3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30-8142-8EA7-CA9786060116}"/>
            </c:ext>
          </c:extLst>
        </c:ser>
        <c:ser>
          <c:idx val="1"/>
          <c:order val="1"/>
          <c:tx>
            <c:strRef>
              <c:f>'Call Sensitivity'!$P$18</c:f>
              <c:strCache>
                <c:ptCount val="1"/>
                <c:pt idx="0">
                  <c:v>BSM Call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'Call Sensitivity'!$N$20:$N$41</c:f>
              <c:numCache>
                <c:formatCode>General</c:formatCode>
                <c:ptCount val="22"/>
                <c:pt idx="0">
                  <c:v>4.4999999999999998E-2</c:v>
                </c:pt>
                <c:pt idx="1">
                  <c:v>0.09</c:v>
                </c:pt>
                <c:pt idx="2">
                  <c:v>0.13500000000000001</c:v>
                </c:pt>
                <c:pt idx="3">
                  <c:v>0.18</c:v>
                </c:pt>
                <c:pt idx="4">
                  <c:v>0.22500000000000001</c:v>
                </c:pt>
                <c:pt idx="5">
                  <c:v>0.27</c:v>
                </c:pt>
                <c:pt idx="6">
                  <c:v>0.315</c:v>
                </c:pt>
                <c:pt idx="7">
                  <c:v>0.36</c:v>
                </c:pt>
                <c:pt idx="8">
                  <c:v>0.40500000000000003</c:v>
                </c:pt>
                <c:pt idx="9">
                  <c:v>0.45</c:v>
                </c:pt>
                <c:pt idx="10">
                  <c:v>0.495</c:v>
                </c:pt>
                <c:pt idx="11">
                  <c:v>0.54</c:v>
                </c:pt>
                <c:pt idx="12">
                  <c:v>0.58499999999999996</c:v>
                </c:pt>
                <c:pt idx="13">
                  <c:v>0.63</c:v>
                </c:pt>
                <c:pt idx="14">
                  <c:v>0.67500000000000004</c:v>
                </c:pt>
                <c:pt idx="15">
                  <c:v>0.72</c:v>
                </c:pt>
                <c:pt idx="16">
                  <c:v>0.76500000000000001</c:v>
                </c:pt>
                <c:pt idx="17">
                  <c:v>0.81</c:v>
                </c:pt>
                <c:pt idx="18">
                  <c:v>0.85499999999999998</c:v>
                </c:pt>
                <c:pt idx="19">
                  <c:v>0.9</c:v>
                </c:pt>
                <c:pt idx="20">
                  <c:v>0.94499999999999995</c:v>
                </c:pt>
                <c:pt idx="21">
                  <c:v>0.99</c:v>
                </c:pt>
              </c:numCache>
            </c:numRef>
          </c:cat>
          <c:val>
            <c:numRef>
              <c:f>'Call Sensitivity'!$P$19:$P$41</c:f>
              <c:numCache>
                <c:formatCode>General</c:formatCode>
                <c:ptCount val="23"/>
                <c:pt idx="0">
                  <c:v>21.061031192609683</c:v>
                </c:pt>
                <c:pt idx="1">
                  <c:v>21.061031192609683</c:v>
                </c:pt>
                <c:pt idx="2">
                  <c:v>21.061031192609683</c:v>
                </c:pt>
                <c:pt idx="3">
                  <c:v>21.061031192609683</c:v>
                </c:pt>
                <c:pt idx="4">
                  <c:v>21.061031192609683</c:v>
                </c:pt>
                <c:pt idx="5">
                  <c:v>21.061031192609683</c:v>
                </c:pt>
                <c:pt idx="6">
                  <c:v>21.061031192609683</c:v>
                </c:pt>
                <c:pt idx="7">
                  <c:v>21.061031192609683</c:v>
                </c:pt>
                <c:pt idx="8">
                  <c:v>21.061031192609683</c:v>
                </c:pt>
                <c:pt idx="9">
                  <c:v>21.061031192609683</c:v>
                </c:pt>
                <c:pt idx="10">
                  <c:v>21.061031192609683</c:v>
                </c:pt>
                <c:pt idx="11">
                  <c:v>21.061031192609683</c:v>
                </c:pt>
                <c:pt idx="12">
                  <c:v>21.061031192609683</c:v>
                </c:pt>
                <c:pt idx="13">
                  <c:v>21.061031192609683</c:v>
                </c:pt>
                <c:pt idx="14">
                  <c:v>21.061031192609683</c:v>
                </c:pt>
                <c:pt idx="15">
                  <c:v>21.061031192609683</c:v>
                </c:pt>
                <c:pt idx="16">
                  <c:v>21.061031192609683</c:v>
                </c:pt>
                <c:pt idx="17">
                  <c:v>21.061031192609683</c:v>
                </c:pt>
                <c:pt idx="18">
                  <c:v>21.061031192609683</c:v>
                </c:pt>
                <c:pt idx="19">
                  <c:v>21.061031192609683</c:v>
                </c:pt>
                <c:pt idx="20">
                  <c:v>21.061031192609683</c:v>
                </c:pt>
                <c:pt idx="21">
                  <c:v>21.061031192609683</c:v>
                </c:pt>
                <c:pt idx="22">
                  <c:v>21.061031192609683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30-8142-8EA7-CA9786060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89440"/>
        <c:axId val="79387856"/>
      </c:lineChart>
      <c:catAx>
        <c:axId val="7808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87856"/>
        <c:crosses val="autoZero"/>
        <c:auto val="1"/>
        <c:lblAlgn val="ctr"/>
        <c:lblOffset val="100"/>
        <c:noMultiLvlLbl val="0"/>
      </c:catAx>
      <c:valAx>
        <c:axId val="7938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8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Call Price Sensitivity to Initial</a:t>
            </a:r>
            <a:r>
              <a:rPr lang="en-US" sz="1600" baseline="0">
                <a:solidFill>
                  <a:schemeClr val="tx1"/>
                </a:solidFill>
              </a:rPr>
              <a:t> Underlying Price</a:t>
            </a:r>
            <a:endParaRPr lang="en-US" sz="1600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'Call Sensitivity'!$S$18</c:f>
              <c:strCache>
                <c:ptCount val="1"/>
                <c:pt idx="0">
                  <c:v>FSLB Call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'Call Sensitivity'!$R$19:$R$39</c:f>
              <c:numCache>
                <c:formatCode>General</c:formatCode>
                <c:ptCount val="21"/>
                <c:pt idx="0">
                  <c:v>1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</c:numCache>
            </c:numRef>
          </c:cat>
          <c:val>
            <c:numRef>
              <c:f>'Call Sensitivity'!$S$19:$S$39</c:f>
              <c:numCache>
                <c:formatCode>General</c:formatCode>
                <c:ptCount val="21"/>
                <c:pt idx="0">
                  <c:v>5.0393776588683089E-62</c:v>
                </c:pt>
                <c:pt idx="1">
                  <c:v>1.7568835143128086E-17</c:v>
                </c:pt>
                <c:pt idx="2">
                  <c:v>1.8462302910975287E-9</c:v>
                </c:pt>
                <c:pt idx="3">
                  <c:v>6.8657005242346696E-6</c:v>
                </c:pt>
                <c:pt idx="4">
                  <c:v>7.5857384052546121E-4</c:v>
                </c:pt>
                <c:pt idx="5">
                  <c:v>1.5586714799771329E-2</c:v>
                </c:pt>
                <c:pt idx="6">
                  <c:v>0.12450544480380683</c:v>
                </c:pt>
                <c:pt idx="7">
                  <c:v>0.55553736258544351</c:v>
                </c:pt>
                <c:pt idx="8">
                  <c:v>1.6947769503234231</c:v>
                </c:pt>
                <c:pt idx="9">
                  <c:v>3.9937015869739483</c:v>
                </c:pt>
                <c:pt idx="10">
                  <c:v>7.8514396880984201</c:v>
                </c:pt>
                <c:pt idx="11">
                  <c:v>13.536782505642542</c:v>
                </c:pt>
                <c:pt idx="12">
                  <c:v>21.159197033613001</c:v>
                </c:pt>
                <c:pt idx="13">
                  <c:v>30.678109487971167</c:v>
                </c:pt>
                <c:pt idx="14">
                  <c:v>41.938119951821683</c:v>
                </c:pt>
                <c:pt idx="15">
                  <c:v>54.715722639049204</c:v>
                </c:pt>
                <c:pt idx="16">
                  <c:v>68.763468767620978</c:v>
                </c:pt>
                <c:pt idx="17">
                  <c:v>83.842706516438227</c:v>
                </c:pt>
                <c:pt idx="18">
                  <c:v>99.742616145210974</c:v>
                </c:pt>
                <c:pt idx="19">
                  <c:v>116.2877606752505</c:v>
                </c:pt>
                <c:pt idx="20">
                  <c:v>133.33802031014417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C1-1A4C-9A3A-D58EA803289D}"/>
            </c:ext>
          </c:extLst>
        </c:ser>
        <c:ser>
          <c:idx val="1"/>
          <c:order val="1"/>
          <c:tx>
            <c:strRef>
              <c:f>'Call Sensitivity'!$T$18</c:f>
              <c:strCache>
                <c:ptCount val="1"/>
                <c:pt idx="0">
                  <c:v>BSM Call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'Call Sensitivity'!$R$19:$R$39</c:f>
              <c:numCache>
                <c:formatCode>General</c:formatCode>
                <c:ptCount val="21"/>
                <c:pt idx="0">
                  <c:v>1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</c:numCache>
            </c:numRef>
          </c:cat>
          <c:val>
            <c:numRef>
              <c:f>'Call Sensitivity'!$T$19:$T$39</c:f>
              <c:numCache>
                <c:formatCode>General</c:formatCode>
                <c:ptCount val="21"/>
                <c:pt idx="0">
                  <c:v>4.2708712010561722E-53</c:v>
                </c:pt>
                <c:pt idx="1">
                  <c:v>3.5228026487163217E-14</c:v>
                </c:pt>
                <c:pt idx="2">
                  <c:v>2.348801915687173E-7</c:v>
                </c:pt>
                <c:pt idx="3">
                  <c:v>2.2135278726626278E-4</c:v>
                </c:pt>
                <c:pt idx="4">
                  <c:v>1.0358634730699257E-2</c:v>
                </c:pt>
                <c:pt idx="5">
                  <c:v>0.11741319681255424</c:v>
                </c:pt>
                <c:pt idx="6">
                  <c:v>0.60646384491712535</c:v>
                </c:pt>
                <c:pt idx="7">
                  <c:v>1.9406065472739176</c:v>
                </c:pt>
                <c:pt idx="8">
                  <c:v>4.553219350065298</c:v>
                </c:pt>
                <c:pt idx="9">
                  <c:v>8.6610551898556665</c:v>
                </c:pt>
                <c:pt idx="10">
                  <c:v>14.231254785985819</c:v>
                </c:pt>
                <c:pt idx="11">
                  <c:v>21.061031192609683</c:v>
                </c:pt>
                <c:pt idx="12">
                  <c:v>28.88043093211148</c:v>
                </c:pt>
                <c:pt idx="13">
                  <c:v>37.426634707381893</c:v>
                </c:pt>
                <c:pt idx="14">
                  <c:v>46.480579412081511</c:v>
                </c:pt>
                <c:pt idx="15">
                  <c:v>55.876232524679168</c:v>
                </c:pt>
                <c:pt idx="16">
                  <c:v>65.495520021903758</c:v>
                </c:pt>
                <c:pt idx="17">
                  <c:v>75.258144702017759</c:v>
                </c:pt>
                <c:pt idx="18">
                  <c:v>85.111228736506902</c:v>
                </c:pt>
                <c:pt idx="19">
                  <c:v>95.020757418169069</c:v>
                </c:pt>
                <c:pt idx="20">
                  <c:v>104.96522160757938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C1-1A4C-9A3A-D58EA8032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977456"/>
        <c:axId val="120979152"/>
      </c:lineChart>
      <c:catAx>
        <c:axId val="12097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979152"/>
        <c:crosses val="autoZero"/>
        <c:auto val="1"/>
        <c:lblAlgn val="ctr"/>
        <c:lblOffset val="100"/>
        <c:noMultiLvlLbl val="0"/>
      </c:catAx>
      <c:valAx>
        <c:axId val="12097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977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Call Price Sensitivity to Strike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'Call Sensitivity'!$W$18</c:f>
              <c:strCache>
                <c:ptCount val="1"/>
                <c:pt idx="0">
                  <c:v>FSLB Call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'Call Sensitivity'!$V$19:$V$39</c:f>
              <c:numCache>
                <c:formatCode>General</c:formatCode>
                <c:ptCount val="21"/>
                <c:pt idx="0">
                  <c:v>1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</c:numCache>
            </c:numRef>
          </c:cat>
          <c:val>
            <c:numRef>
              <c:f>'Call Sensitivity'!$W$19:$W$39</c:f>
              <c:numCache>
                <c:formatCode>General</c:formatCode>
                <c:ptCount val="21"/>
                <c:pt idx="0">
                  <c:v>23.847553063153402</c:v>
                </c:pt>
                <c:pt idx="1">
                  <c:v>22.91021028519787</c:v>
                </c:pt>
                <c:pt idx="2">
                  <c:v>21.868718309691722</c:v>
                </c:pt>
                <c:pt idx="3">
                  <c:v>20.827226334185575</c:v>
                </c:pt>
                <c:pt idx="4">
                  <c:v>19.785734358679427</c:v>
                </c:pt>
                <c:pt idx="5">
                  <c:v>18.74424238317328</c:v>
                </c:pt>
                <c:pt idx="6">
                  <c:v>17.702750407667132</c:v>
                </c:pt>
                <c:pt idx="7">
                  <c:v>16.661258432160984</c:v>
                </c:pt>
                <c:pt idx="8">
                  <c:v>15.619766456654835</c:v>
                </c:pt>
                <c:pt idx="9">
                  <c:v>14.578274481148688</c:v>
                </c:pt>
                <c:pt idx="10">
                  <c:v>13.536782505642542</c:v>
                </c:pt>
                <c:pt idx="11">
                  <c:v>12.495290530136394</c:v>
                </c:pt>
                <c:pt idx="12">
                  <c:v>11.453798554630247</c:v>
                </c:pt>
                <c:pt idx="13">
                  <c:v>7.7457128078007846</c:v>
                </c:pt>
                <c:pt idx="14">
                  <c:v>5.1828177857270399</c:v>
                </c:pt>
                <c:pt idx="15">
                  <c:v>3.4373429444864416</c:v>
                </c:pt>
                <c:pt idx="16">
                  <c:v>2.2626397022167999</c:v>
                </c:pt>
                <c:pt idx="17">
                  <c:v>1.4799203929362397</c:v>
                </c:pt>
                <c:pt idx="18">
                  <c:v>0.96281886558306784</c:v>
                </c:pt>
                <c:pt idx="19">
                  <c:v>0.62368075499595788</c:v>
                </c:pt>
                <c:pt idx="20">
                  <c:v>0.40262152375495919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42-D74E-B68B-705D5690F76C}"/>
            </c:ext>
          </c:extLst>
        </c:ser>
        <c:ser>
          <c:idx val="1"/>
          <c:order val="1"/>
          <c:tx>
            <c:strRef>
              <c:f>'Call Sensitivity'!$X$18</c:f>
              <c:strCache>
                <c:ptCount val="1"/>
                <c:pt idx="0">
                  <c:v>BSM Call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'Call Sensitivity'!$V$19:$V$39</c:f>
              <c:numCache>
                <c:formatCode>General</c:formatCode>
                <c:ptCount val="21"/>
                <c:pt idx="0">
                  <c:v>1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</c:numCache>
            </c:numRef>
          </c:cat>
          <c:val>
            <c:numRef>
              <c:f>'Call Sensitivity'!$X$19:$X$39</c:f>
              <c:numCache>
                <c:formatCode>General</c:formatCode>
                <c:ptCount val="21"/>
                <c:pt idx="0">
                  <c:v>109.04877057549929</c:v>
                </c:pt>
                <c:pt idx="1">
                  <c:v>100.48770575499286</c:v>
                </c:pt>
                <c:pt idx="2">
                  <c:v>90.975411515425492</c:v>
                </c:pt>
                <c:pt idx="3">
                  <c:v>81.463128948513486</c:v>
                </c:pt>
                <c:pt idx="4">
                  <c:v>71.951785844044196</c:v>
                </c:pt>
                <c:pt idx="5">
                  <c:v>62.455170722122531</c:v>
                </c:pt>
                <c:pt idx="6">
                  <c:v>53.045641776215568</c:v>
                </c:pt>
                <c:pt idx="7">
                  <c:v>43.910728280788774</c:v>
                </c:pt>
                <c:pt idx="8">
                  <c:v>35.343568398300107</c:v>
                </c:pt>
                <c:pt idx="9">
                  <c:v>27.6527756347962</c:v>
                </c:pt>
                <c:pt idx="10">
                  <c:v>21.061031192609683</c:v>
                </c:pt>
                <c:pt idx="11">
                  <c:v>15.654380264584404</c:v>
                </c:pt>
                <c:pt idx="12">
                  <c:v>11.390187181129491</c:v>
                </c:pt>
                <c:pt idx="13">
                  <c:v>8.1381633060923804</c:v>
                </c:pt>
                <c:pt idx="14">
                  <c:v>5.7268483581363085</c:v>
                </c:pt>
                <c:pt idx="15">
                  <c:v>3.9798875812713099</c:v>
                </c:pt>
                <c:pt idx="16">
                  <c:v>2.7379427637567453</c:v>
                </c:pt>
                <c:pt idx="17">
                  <c:v>1.8684009856925634</c:v>
                </c:pt>
                <c:pt idx="18">
                  <c:v>1.266989158887446</c:v>
                </c:pt>
                <c:pt idx="19">
                  <c:v>0.85503302133057524</c:v>
                </c:pt>
                <c:pt idx="20">
                  <c:v>0.57497651763840008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42-D74E-B68B-705D5690F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916128"/>
        <c:axId val="147325152"/>
      </c:lineChart>
      <c:catAx>
        <c:axId val="77916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325152"/>
        <c:crosses val="autoZero"/>
        <c:auto val="1"/>
        <c:lblAlgn val="ctr"/>
        <c:lblOffset val="100"/>
        <c:noMultiLvlLbl val="0"/>
      </c:catAx>
      <c:valAx>
        <c:axId val="14732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Call Price</a:t>
            </a:r>
            <a:r>
              <a:rPr lang="en-US" sz="1600" baseline="0">
                <a:solidFill>
                  <a:schemeClr val="tx1"/>
                </a:solidFill>
              </a:rPr>
              <a:t> Sentitivity to Max Stock Price</a:t>
            </a:r>
            <a:endParaRPr lang="en-US" sz="1600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'Call Sensitivity'!$AA$18</c:f>
              <c:strCache>
                <c:ptCount val="1"/>
                <c:pt idx="0">
                  <c:v>FSLB Call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'Call Sensitivity'!$Z$19:$Z$39</c:f>
              <c:numCache>
                <c:formatCode>General</c:formatCode>
                <c:ptCount val="21"/>
                <c:pt idx="0">
                  <c:v>1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</c:numCache>
            </c:numRef>
          </c:cat>
          <c:val>
            <c:numRef>
              <c:f>'Call Sensitivity'!$AA$19:$AA$39</c:f>
              <c:numCache>
                <c:formatCode>General</c:formatCode>
                <c:ptCount val="21"/>
                <c:pt idx="0">
                  <c:v>24.001348764765563</c:v>
                </c:pt>
                <c:pt idx="1">
                  <c:v>24.001348764765563</c:v>
                </c:pt>
                <c:pt idx="2">
                  <c:v>24.001348764765563</c:v>
                </c:pt>
                <c:pt idx="3">
                  <c:v>24.001348764765563</c:v>
                </c:pt>
                <c:pt idx="4">
                  <c:v>24.001348764765563</c:v>
                </c:pt>
                <c:pt idx="5">
                  <c:v>24.001348764765563</c:v>
                </c:pt>
                <c:pt idx="6">
                  <c:v>24.001348764765563</c:v>
                </c:pt>
                <c:pt idx="7">
                  <c:v>24.001348764765563</c:v>
                </c:pt>
                <c:pt idx="8">
                  <c:v>24.001348764765563</c:v>
                </c:pt>
                <c:pt idx="9">
                  <c:v>24.001348764765563</c:v>
                </c:pt>
                <c:pt idx="10">
                  <c:v>24.001348764765563</c:v>
                </c:pt>
                <c:pt idx="11">
                  <c:v>18.178418178069194</c:v>
                </c:pt>
                <c:pt idx="12">
                  <c:v>13.536782505642542</c:v>
                </c:pt>
                <c:pt idx="13">
                  <c:v>9.9246873045799777</c:v>
                </c:pt>
                <c:pt idx="14">
                  <c:v>7.1718874566679016</c:v>
                </c:pt>
                <c:pt idx="15">
                  <c:v>5.1137681434422664</c:v>
                </c:pt>
                <c:pt idx="16">
                  <c:v>3.6022465721250447</c:v>
                </c:pt>
                <c:pt idx="17">
                  <c:v>2.5102716937268781</c:v>
                </c:pt>
                <c:pt idx="18">
                  <c:v>1.7330088499276688</c:v>
                </c:pt>
                <c:pt idx="19">
                  <c:v>1.1869356071956916</c:v>
                </c:pt>
                <c:pt idx="20">
                  <c:v>0.80757666002562045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09-0E4A-AB6B-002A3221AF3D}"/>
            </c:ext>
          </c:extLst>
        </c:ser>
        <c:ser>
          <c:idx val="1"/>
          <c:order val="1"/>
          <c:tx>
            <c:strRef>
              <c:f>'Call Sensitivity'!$AB$18</c:f>
              <c:strCache>
                <c:ptCount val="1"/>
                <c:pt idx="0">
                  <c:v>BSM Call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'Call Sensitivity'!$Z$19:$Z$39</c:f>
              <c:numCache>
                <c:formatCode>General</c:formatCode>
                <c:ptCount val="21"/>
                <c:pt idx="0">
                  <c:v>1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</c:numCache>
            </c:numRef>
          </c:cat>
          <c:val>
            <c:numRef>
              <c:f>'Call Sensitivity'!$AB$19:$AB$39</c:f>
              <c:numCache>
                <c:formatCode>General</c:formatCode>
                <c:ptCount val="21"/>
                <c:pt idx="0">
                  <c:v>21.061031192609683</c:v>
                </c:pt>
                <c:pt idx="1">
                  <c:v>21.061031192609683</c:v>
                </c:pt>
                <c:pt idx="2">
                  <c:v>21.061031192609683</c:v>
                </c:pt>
                <c:pt idx="3">
                  <c:v>21.061031192609683</c:v>
                </c:pt>
                <c:pt idx="4">
                  <c:v>21.061031192609683</c:v>
                </c:pt>
                <c:pt idx="5">
                  <c:v>21.061031192609683</c:v>
                </c:pt>
                <c:pt idx="6">
                  <c:v>21.061031192609683</c:v>
                </c:pt>
                <c:pt idx="7">
                  <c:v>21.061031192609683</c:v>
                </c:pt>
                <c:pt idx="8">
                  <c:v>21.061031192609683</c:v>
                </c:pt>
                <c:pt idx="9">
                  <c:v>21.061031192609683</c:v>
                </c:pt>
                <c:pt idx="10">
                  <c:v>21.061031192609683</c:v>
                </c:pt>
                <c:pt idx="11">
                  <c:v>21.061031192609683</c:v>
                </c:pt>
                <c:pt idx="12">
                  <c:v>21.061031192609683</c:v>
                </c:pt>
                <c:pt idx="13">
                  <c:v>21.061031192609683</c:v>
                </c:pt>
                <c:pt idx="14">
                  <c:v>21.061031192609683</c:v>
                </c:pt>
                <c:pt idx="15">
                  <c:v>21.061031192609683</c:v>
                </c:pt>
                <c:pt idx="16">
                  <c:v>21.061031192609683</c:v>
                </c:pt>
                <c:pt idx="17">
                  <c:v>21.061031192609683</c:v>
                </c:pt>
                <c:pt idx="18">
                  <c:v>21.061031192609683</c:v>
                </c:pt>
                <c:pt idx="19">
                  <c:v>21.061031192609683</c:v>
                </c:pt>
                <c:pt idx="20">
                  <c:v>21.061031192609683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09-0E4A-AB6B-002A3221A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166544"/>
        <c:axId val="78984368"/>
      </c:lineChart>
      <c:catAx>
        <c:axId val="14316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84368"/>
        <c:crosses val="autoZero"/>
        <c:auto val="1"/>
        <c:lblAlgn val="ctr"/>
        <c:lblOffset val="100"/>
        <c:noMultiLvlLbl val="0"/>
      </c:catAx>
      <c:valAx>
        <c:axId val="7898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166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Put Price with change to Risk-free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'Put Sensitivity(consider Rfr)'!$C$17</c:f>
              <c:strCache>
                <c:ptCount val="1"/>
                <c:pt idx="0">
                  <c:v>Fixed-Strike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'Put Sensitivity(consider Rfr)'!$B$18:$B$114</c:f>
              <c:numCache>
                <c:formatCode>General</c:formatCode>
                <c:ptCount val="97"/>
                <c:pt idx="0">
                  <c:v>0.01</c:v>
                </c:pt>
                <c:pt idx="1">
                  <c:v>1.2500000000000001E-2</c:v>
                </c:pt>
                <c:pt idx="2">
                  <c:v>1.4999999999999999E-2</c:v>
                </c:pt>
                <c:pt idx="3">
                  <c:v>1.7500000000000002E-2</c:v>
                </c:pt>
                <c:pt idx="4">
                  <c:v>0.02</c:v>
                </c:pt>
                <c:pt idx="5">
                  <c:v>2.2499999999999999E-2</c:v>
                </c:pt>
                <c:pt idx="6">
                  <c:v>2.5000000000000001E-2</c:v>
                </c:pt>
                <c:pt idx="7">
                  <c:v>2.75E-2</c:v>
                </c:pt>
                <c:pt idx="8">
                  <c:v>0.03</c:v>
                </c:pt>
                <c:pt idx="9">
                  <c:v>3.2500000000000001E-2</c:v>
                </c:pt>
                <c:pt idx="10">
                  <c:v>3.5000000000000003E-2</c:v>
                </c:pt>
                <c:pt idx="11">
                  <c:v>3.7499999999999999E-2</c:v>
                </c:pt>
                <c:pt idx="12">
                  <c:v>0.04</c:v>
                </c:pt>
                <c:pt idx="13">
                  <c:v>4.2500000000000003E-2</c:v>
                </c:pt>
                <c:pt idx="14">
                  <c:v>4.4999999999999998E-2</c:v>
                </c:pt>
                <c:pt idx="15">
                  <c:v>4.7500000000000001E-2</c:v>
                </c:pt>
                <c:pt idx="16">
                  <c:v>0.05</c:v>
                </c:pt>
                <c:pt idx="17">
                  <c:v>5.2499999999999998E-2</c:v>
                </c:pt>
                <c:pt idx="18">
                  <c:v>5.5E-2</c:v>
                </c:pt>
                <c:pt idx="19">
                  <c:v>5.7500000000000002E-2</c:v>
                </c:pt>
                <c:pt idx="20">
                  <c:v>0.06</c:v>
                </c:pt>
                <c:pt idx="21">
                  <c:v>6.25E-2</c:v>
                </c:pt>
                <c:pt idx="22">
                  <c:v>6.5000000000000002E-2</c:v>
                </c:pt>
                <c:pt idx="23">
                  <c:v>6.7500000000000004E-2</c:v>
                </c:pt>
                <c:pt idx="24">
                  <c:v>7.0000000000000007E-2</c:v>
                </c:pt>
                <c:pt idx="25">
                  <c:v>7.2499999999999995E-2</c:v>
                </c:pt>
                <c:pt idx="26">
                  <c:v>7.4999999999999997E-2</c:v>
                </c:pt>
                <c:pt idx="27">
                  <c:v>7.7499999999999999E-2</c:v>
                </c:pt>
                <c:pt idx="28">
                  <c:v>0.08</c:v>
                </c:pt>
                <c:pt idx="29">
                  <c:v>8.2500000000000004E-2</c:v>
                </c:pt>
                <c:pt idx="30">
                  <c:v>8.5000000000000006E-2</c:v>
                </c:pt>
                <c:pt idx="31">
                  <c:v>8.7499999999999994E-2</c:v>
                </c:pt>
                <c:pt idx="32">
                  <c:v>0.09</c:v>
                </c:pt>
                <c:pt idx="33">
                  <c:v>9.2499999999999999E-2</c:v>
                </c:pt>
                <c:pt idx="34">
                  <c:v>9.5000000000000001E-2</c:v>
                </c:pt>
                <c:pt idx="35">
                  <c:v>9.7500000000000003E-2</c:v>
                </c:pt>
                <c:pt idx="36">
                  <c:v>0.1</c:v>
                </c:pt>
                <c:pt idx="37">
                  <c:v>0.10249999999999999</c:v>
                </c:pt>
                <c:pt idx="38">
                  <c:v>0.105</c:v>
                </c:pt>
                <c:pt idx="39">
                  <c:v>0.1075</c:v>
                </c:pt>
                <c:pt idx="40">
                  <c:v>0.11</c:v>
                </c:pt>
                <c:pt idx="41">
                  <c:v>0.1125</c:v>
                </c:pt>
                <c:pt idx="42">
                  <c:v>0.115</c:v>
                </c:pt>
                <c:pt idx="43">
                  <c:v>0.11749999999999999</c:v>
                </c:pt>
                <c:pt idx="44">
                  <c:v>0.12</c:v>
                </c:pt>
                <c:pt idx="45">
                  <c:v>0.1225</c:v>
                </c:pt>
                <c:pt idx="46">
                  <c:v>0.125</c:v>
                </c:pt>
                <c:pt idx="47">
                  <c:v>0.1275</c:v>
                </c:pt>
                <c:pt idx="48">
                  <c:v>0.13</c:v>
                </c:pt>
                <c:pt idx="49">
                  <c:v>0.13250000000000001</c:v>
                </c:pt>
                <c:pt idx="50">
                  <c:v>0.13500000000000001</c:v>
                </c:pt>
                <c:pt idx="51">
                  <c:v>0.13750000000000001</c:v>
                </c:pt>
                <c:pt idx="52">
                  <c:v>0.14000000000000001</c:v>
                </c:pt>
                <c:pt idx="53">
                  <c:v>0.14249999999999999</c:v>
                </c:pt>
                <c:pt idx="54">
                  <c:v>0.14499999999999999</c:v>
                </c:pt>
                <c:pt idx="55">
                  <c:v>0.14749999999999999</c:v>
                </c:pt>
                <c:pt idx="56">
                  <c:v>0.15</c:v>
                </c:pt>
                <c:pt idx="57">
                  <c:v>0.1525</c:v>
                </c:pt>
                <c:pt idx="58">
                  <c:v>0.155</c:v>
                </c:pt>
                <c:pt idx="59">
                  <c:v>0.1575</c:v>
                </c:pt>
                <c:pt idx="60">
                  <c:v>0.16</c:v>
                </c:pt>
                <c:pt idx="61">
                  <c:v>0.16250000000000001</c:v>
                </c:pt>
                <c:pt idx="62">
                  <c:v>0.16500000000000001</c:v>
                </c:pt>
                <c:pt idx="63">
                  <c:v>0.16750000000000001</c:v>
                </c:pt>
                <c:pt idx="64">
                  <c:v>0.17</c:v>
                </c:pt>
                <c:pt idx="65">
                  <c:v>0.17249999999999999</c:v>
                </c:pt>
                <c:pt idx="66">
                  <c:v>0.17499999999999999</c:v>
                </c:pt>
                <c:pt idx="67">
                  <c:v>0.17749999999999999</c:v>
                </c:pt>
                <c:pt idx="68">
                  <c:v>0.18</c:v>
                </c:pt>
                <c:pt idx="69">
                  <c:v>0.1825</c:v>
                </c:pt>
                <c:pt idx="70">
                  <c:v>0.185</c:v>
                </c:pt>
                <c:pt idx="71">
                  <c:v>0.1875</c:v>
                </c:pt>
                <c:pt idx="72">
                  <c:v>0.19</c:v>
                </c:pt>
                <c:pt idx="73">
                  <c:v>0.1925</c:v>
                </c:pt>
                <c:pt idx="74">
                  <c:v>0.19500000000000001</c:v>
                </c:pt>
                <c:pt idx="75">
                  <c:v>0.19750000000000001</c:v>
                </c:pt>
                <c:pt idx="76">
                  <c:v>0.2</c:v>
                </c:pt>
                <c:pt idx="77">
                  <c:v>0.20250000000000001</c:v>
                </c:pt>
                <c:pt idx="78">
                  <c:v>0.20499999999999999</c:v>
                </c:pt>
                <c:pt idx="79">
                  <c:v>0.20749999999999999</c:v>
                </c:pt>
                <c:pt idx="80">
                  <c:v>0.21</c:v>
                </c:pt>
                <c:pt idx="81">
                  <c:v>0.21249999999999999</c:v>
                </c:pt>
                <c:pt idx="82">
                  <c:v>0.215</c:v>
                </c:pt>
                <c:pt idx="83">
                  <c:v>0.2175</c:v>
                </c:pt>
                <c:pt idx="84">
                  <c:v>0.22</c:v>
                </c:pt>
                <c:pt idx="85">
                  <c:v>0.2225</c:v>
                </c:pt>
                <c:pt idx="86">
                  <c:v>0.22500000000000001</c:v>
                </c:pt>
                <c:pt idx="87">
                  <c:v>0.22750000000000001</c:v>
                </c:pt>
                <c:pt idx="88">
                  <c:v>0.23</c:v>
                </c:pt>
                <c:pt idx="89">
                  <c:v>0.23250000000000001</c:v>
                </c:pt>
                <c:pt idx="90">
                  <c:v>0.23499999999999999</c:v>
                </c:pt>
                <c:pt idx="91">
                  <c:v>0.23749999999999999</c:v>
                </c:pt>
                <c:pt idx="92">
                  <c:v>0.24</c:v>
                </c:pt>
                <c:pt idx="93">
                  <c:v>0.24249999999999999</c:v>
                </c:pt>
                <c:pt idx="94">
                  <c:v>0.245</c:v>
                </c:pt>
                <c:pt idx="95">
                  <c:v>0.2475</c:v>
                </c:pt>
                <c:pt idx="96">
                  <c:v>0.25</c:v>
                </c:pt>
              </c:numCache>
            </c:numRef>
          </c:cat>
          <c:val>
            <c:numRef>
              <c:f>'Put Sensitivity(consider Rfr)'!$C$18:$C$114</c:f>
              <c:numCache>
                <c:formatCode>General</c:formatCode>
                <c:ptCount val="97"/>
                <c:pt idx="0">
                  <c:v>6.1686174214900982</c:v>
                </c:pt>
                <c:pt idx="1">
                  <c:v>6.2267560221474785</c:v>
                </c:pt>
                <c:pt idx="2">
                  <c:v>6.2835853555440933</c:v>
                </c:pt>
                <c:pt idx="3">
                  <c:v>6.3391150458260759</c:v>
                </c:pt>
                <c:pt idx="4">
                  <c:v>6.3933548037070853</c:v>
                </c:pt>
                <c:pt idx="5">
                  <c:v>6.4463144230615601</c:v>
                </c:pt>
                <c:pt idx="6">
                  <c:v>6.4980037775385968</c:v>
                </c:pt>
                <c:pt idx="7">
                  <c:v>6.548432817198246</c:v>
                </c:pt>
                <c:pt idx="8">
                  <c:v>6.5976115651709524</c:v>
                </c:pt>
                <c:pt idx="9">
                  <c:v>6.6455501143419919</c:v>
                </c:pt>
                <c:pt idx="10">
                  <c:v>6.6922586240617248</c:v>
                </c:pt>
                <c:pt idx="11">
                  <c:v>6.737747316883115</c:v>
                </c:pt>
                <c:pt idx="12">
                  <c:v>6.7820264753275534</c:v>
                </c:pt>
                <c:pt idx="13">
                  <c:v>6.8251064386802014</c:v>
                </c:pt>
                <c:pt idx="14">
                  <c:v>6.8669975998159307</c:v>
                </c:pt>
                <c:pt idx="15">
                  <c:v>6.9077104020568605</c:v>
                </c:pt>
                <c:pt idx="16">
                  <c:v>6.9472553360624918</c:v>
                </c:pt>
                <c:pt idx="17">
                  <c:v>6.9856429367536759</c:v>
                </c:pt>
                <c:pt idx="18">
                  <c:v>7.0228837802708091</c:v>
                </c:pt>
                <c:pt idx="19">
                  <c:v>7.0589884809677921</c:v>
                </c:pt>
                <c:pt idx="20">
                  <c:v>7.0939676884420795</c:v>
                </c:pt>
                <c:pt idx="21">
                  <c:v>7.1278320846019954</c:v>
                </c:pt>
                <c:pt idx="22">
                  <c:v>7.1605923807718366</c:v>
                </c:pt>
                <c:pt idx="23">
                  <c:v>7.1922593148357477</c:v>
                </c:pt>
                <c:pt idx="24">
                  <c:v>7.2228436484207821</c:v>
                </c:pt>
                <c:pt idx="25">
                  <c:v>7.2523561641200764</c:v>
                </c:pt>
                <c:pt idx="26">
                  <c:v>7.2808076627565761</c:v>
                </c:pt>
                <c:pt idx="27">
                  <c:v>7.3082089606879856</c:v>
                </c:pt>
                <c:pt idx="28">
                  <c:v>7.3345708871534736</c:v>
                </c:pt>
                <c:pt idx="29">
                  <c:v>7.3599042816625344</c:v>
                </c:pt>
                <c:pt idx="30">
                  <c:v>7.3842199914266944</c:v>
                </c:pt>
                <c:pt idx="31">
                  <c:v>7.4075288688342047</c:v>
                </c:pt>
                <c:pt idx="32">
                  <c:v>7.4298417689683518</c:v>
                </c:pt>
                <c:pt idx="33">
                  <c:v>7.4511695471696555</c:v>
                </c:pt>
                <c:pt idx="34">
                  <c:v>7.4715230566421749</c:v>
                </c:pt>
                <c:pt idx="35">
                  <c:v>7.4909131461043366</c:v>
                </c:pt>
                <c:pt idx="36">
                  <c:v>7.5093506574845676</c:v>
                </c:pt>
                <c:pt idx="37">
                  <c:v>7.5268464236616559</c:v>
                </c:pt>
                <c:pt idx="38">
                  <c:v>7.5434112662504313</c:v>
                </c:pt>
                <c:pt idx="39">
                  <c:v>7.5590559934325317</c:v>
                </c:pt>
                <c:pt idx="40">
                  <c:v>7.5737913978326121</c:v>
                </c:pt>
                <c:pt idx="41">
                  <c:v>7.5876282544399016</c:v>
                </c:pt>
                <c:pt idx="42">
                  <c:v>7.600577318575346</c:v>
                </c:pt>
                <c:pt idx="43">
                  <c:v>7.6126493239040753</c:v>
                </c:pt>
                <c:pt idx="44">
                  <c:v>7.6238549804934665</c:v>
                </c:pt>
                <c:pt idx="45">
                  <c:v>7.6342049729165282</c:v>
                </c:pt>
                <c:pt idx="46">
                  <c:v>7.6437099584006365</c:v>
                </c:pt>
                <c:pt idx="47">
                  <c:v>7.6523805650214856</c:v>
                </c:pt>
                <c:pt idx="48">
                  <c:v>7.6602273899421469</c:v>
                </c:pt>
                <c:pt idx="49">
                  <c:v>7.6672609976969639</c:v>
                </c:pt>
                <c:pt idx="50">
                  <c:v>7.6734919185202699</c:v>
                </c:pt>
                <c:pt idx="51">
                  <c:v>7.6789306467195182</c:v>
                </c:pt>
                <c:pt idx="52">
                  <c:v>7.6835876390927416</c:v>
                </c:pt>
                <c:pt idx="53">
                  <c:v>7.6874733133899467</c:v>
                </c:pt>
                <c:pt idx="54">
                  <c:v>7.6905980468182777</c:v>
                </c:pt>
                <c:pt idx="55">
                  <c:v>7.6929721745905191</c:v>
                </c:pt>
                <c:pt idx="56">
                  <c:v>7.6946059885166438</c:v>
                </c:pt>
                <c:pt idx="57">
                  <c:v>7.6955097356381126</c:v>
                </c:pt>
                <c:pt idx="58">
                  <c:v>7.6956936169044514</c:v>
                </c:pt>
                <c:pt idx="59">
                  <c:v>7.6951677858917478</c:v>
                </c:pt>
                <c:pt idx="60">
                  <c:v>7.693942347562678</c:v>
                </c:pt>
                <c:pt idx="61">
                  <c:v>7.6920273570675963</c:v>
                </c:pt>
                <c:pt idx="62">
                  <c:v>7.6894328185862433</c:v>
                </c:pt>
                <c:pt idx="63">
                  <c:v>7.6861686842096146</c:v>
                </c:pt>
                <c:pt idx="64">
                  <c:v>7.6822448528615102</c:v>
                </c:pt>
                <c:pt idx="65">
                  <c:v>7.6776711692592237</c:v>
                </c:pt>
                <c:pt idx="66">
                  <c:v>7.6724574229129914</c:v>
                </c:pt>
                <c:pt idx="67">
                  <c:v>7.666613347163417</c:v>
                </c:pt>
                <c:pt idx="68">
                  <c:v>7.660148618256704</c:v>
                </c:pt>
                <c:pt idx="69">
                  <c:v>7.6530728544567834</c:v>
                </c:pt>
                <c:pt idx="70">
                  <c:v>7.6453956151940083</c:v>
                </c:pt>
                <c:pt idx="71">
                  <c:v>7.6371264002497874</c:v>
                </c:pt>
                <c:pt idx="72">
                  <c:v>7.6282746489765634</c:v>
                </c:pt>
                <c:pt idx="73">
                  <c:v>7.6188497395525232</c:v>
                </c:pt>
                <c:pt idx="74">
                  <c:v>7.6088609882705249</c:v>
                </c:pt>
                <c:pt idx="75">
                  <c:v>7.5983176488606272</c:v>
                </c:pt>
                <c:pt idx="76">
                  <c:v>7.5872289118454654</c:v>
                </c:pt>
                <c:pt idx="77">
                  <c:v>7.57560390392816</c:v>
                </c:pt>
                <c:pt idx="78">
                  <c:v>7.5634516874118072</c:v>
                </c:pt>
                <c:pt idx="79">
                  <c:v>7.5507812596501669</c:v>
                </c:pt>
                <c:pt idx="80">
                  <c:v>7.5376015525288524</c:v>
                </c:pt>
                <c:pt idx="81">
                  <c:v>7.5239214319763503</c:v>
                </c:pt>
                <c:pt idx="82">
                  <c:v>7.5097496975043168</c:v>
                </c:pt>
                <c:pt idx="83">
                  <c:v>7.4950950817764737</c:v>
                </c:pt>
                <c:pt idx="84">
                  <c:v>7.4799662502054591</c:v>
                </c:pt>
                <c:pt idx="85">
                  <c:v>7.4643718005770827</c:v>
                </c:pt>
                <c:pt idx="86">
                  <c:v>7.4483202627012624</c:v>
                </c:pt>
                <c:pt idx="87">
                  <c:v>7.4318200980890463</c:v>
                </c:pt>
                <c:pt idx="88">
                  <c:v>7.4148796996551427</c:v>
                </c:pt>
                <c:pt idx="89">
                  <c:v>7.3975073914452363</c:v>
                </c:pt>
                <c:pt idx="90">
                  <c:v>7.3797114283875551</c:v>
                </c:pt>
                <c:pt idx="91">
                  <c:v>7.3614999960680283</c:v>
                </c:pt>
                <c:pt idx="92">
                  <c:v>7.3428812105284029</c:v>
                </c:pt>
                <c:pt idx="93">
                  <c:v>7.3238631180867637</c:v>
                </c:pt>
                <c:pt idx="94">
                  <c:v>7.3044536951797845</c:v>
                </c:pt>
                <c:pt idx="95">
                  <c:v>7.2846608482261717</c:v>
                </c:pt>
                <c:pt idx="96">
                  <c:v>7.2644924135106272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E6-354C-9E4B-D92D5ABB11E2}"/>
            </c:ext>
          </c:extLst>
        </c:ser>
        <c:ser>
          <c:idx val="1"/>
          <c:order val="1"/>
          <c:tx>
            <c:strRef>
              <c:f>'Put Sensitivity(consider Rfr)'!$D$17</c:f>
              <c:strCache>
                <c:ptCount val="1"/>
                <c:pt idx="0">
                  <c:v>Black Scholes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'Put Sensitivity(consider Rfr)'!$B$18:$B$114</c:f>
              <c:numCache>
                <c:formatCode>General</c:formatCode>
                <c:ptCount val="97"/>
                <c:pt idx="0">
                  <c:v>0.01</c:v>
                </c:pt>
                <c:pt idx="1">
                  <c:v>1.2500000000000001E-2</c:v>
                </c:pt>
                <c:pt idx="2">
                  <c:v>1.4999999999999999E-2</c:v>
                </c:pt>
                <c:pt idx="3">
                  <c:v>1.7500000000000002E-2</c:v>
                </c:pt>
                <c:pt idx="4">
                  <c:v>0.02</c:v>
                </c:pt>
                <c:pt idx="5">
                  <c:v>2.2499999999999999E-2</c:v>
                </c:pt>
                <c:pt idx="6">
                  <c:v>2.5000000000000001E-2</c:v>
                </c:pt>
                <c:pt idx="7">
                  <c:v>2.75E-2</c:v>
                </c:pt>
                <c:pt idx="8">
                  <c:v>0.03</c:v>
                </c:pt>
                <c:pt idx="9">
                  <c:v>3.2500000000000001E-2</c:v>
                </c:pt>
                <c:pt idx="10">
                  <c:v>3.5000000000000003E-2</c:v>
                </c:pt>
                <c:pt idx="11">
                  <c:v>3.7499999999999999E-2</c:v>
                </c:pt>
                <c:pt idx="12">
                  <c:v>0.04</c:v>
                </c:pt>
                <c:pt idx="13">
                  <c:v>4.2500000000000003E-2</c:v>
                </c:pt>
                <c:pt idx="14">
                  <c:v>4.4999999999999998E-2</c:v>
                </c:pt>
                <c:pt idx="15">
                  <c:v>4.7500000000000001E-2</c:v>
                </c:pt>
                <c:pt idx="16">
                  <c:v>0.05</c:v>
                </c:pt>
                <c:pt idx="17">
                  <c:v>5.2499999999999998E-2</c:v>
                </c:pt>
                <c:pt idx="18">
                  <c:v>5.5E-2</c:v>
                </c:pt>
                <c:pt idx="19">
                  <c:v>5.7500000000000002E-2</c:v>
                </c:pt>
                <c:pt idx="20">
                  <c:v>0.06</c:v>
                </c:pt>
                <c:pt idx="21">
                  <c:v>6.25E-2</c:v>
                </c:pt>
                <c:pt idx="22">
                  <c:v>6.5000000000000002E-2</c:v>
                </c:pt>
                <c:pt idx="23">
                  <c:v>6.7500000000000004E-2</c:v>
                </c:pt>
                <c:pt idx="24">
                  <c:v>7.0000000000000007E-2</c:v>
                </c:pt>
                <c:pt idx="25">
                  <c:v>7.2499999999999995E-2</c:v>
                </c:pt>
                <c:pt idx="26">
                  <c:v>7.4999999999999997E-2</c:v>
                </c:pt>
                <c:pt idx="27">
                  <c:v>7.7499999999999999E-2</c:v>
                </c:pt>
                <c:pt idx="28">
                  <c:v>0.08</c:v>
                </c:pt>
                <c:pt idx="29">
                  <c:v>8.2500000000000004E-2</c:v>
                </c:pt>
                <c:pt idx="30">
                  <c:v>8.5000000000000006E-2</c:v>
                </c:pt>
                <c:pt idx="31">
                  <c:v>8.7499999999999994E-2</c:v>
                </c:pt>
                <c:pt idx="32">
                  <c:v>0.09</c:v>
                </c:pt>
                <c:pt idx="33">
                  <c:v>9.2499999999999999E-2</c:v>
                </c:pt>
                <c:pt idx="34">
                  <c:v>9.5000000000000001E-2</c:v>
                </c:pt>
                <c:pt idx="35">
                  <c:v>9.7500000000000003E-2</c:v>
                </c:pt>
                <c:pt idx="36">
                  <c:v>0.1</c:v>
                </c:pt>
                <c:pt idx="37">
                  <c:v>0.10249999999999999</c:v>
                </c:pt>
                <c:pt idx="38">
                  <c:v>0.105</c:v>
                </c:pt>
                <c:pt idx="39">
                  <c:v>0.1075</c:v>
                </c:pt>
                <c:pt idx="40">
                  <c:v>0.11</c:v>
                </c:pt>
                <c:pt idx="41">
                  <c:v>0.1125</c:v>
                </c:pt>
                <c:pt idx="42">
                  <c:v>0.115</c:v>
                </c:pt>
                <c:pt idx="43">
                  <c:v>0.11749999999999999</c:v>
                </c:pt>
                <c:pt idx="44">
                  <c:v>0.12</c:v>
                </c:pt>
                <c:pt idx="45">
                  <c:v>0.1225</c:v>
                </c:pt>
                <c:pt idx="46">
                  <c:v>0.125</c:v>
                </c:pt>
                <c:pt idx="47">
                  <c:v>0.1275</c:v>
                </c:pt>
                <c:pt idx="48">
                  <c:v>0.13</c:v>
                </c:pt>
                <c:pt idx="49">
                  <c:v>0.13250000000000001</c:v>
                </c:pt>
                <c:pt idx="50">
                  <c:v>0.13500000000000001</c:v>
                </c:pt>
                <c:pt idx="51">
                  <c:v>0.13750000000000001</c:v>
                </c:pt>
                <c:pt idx="52">
                  <c:v>0.14000000000000001</c:v>
                </c:pt>
                <c:pt idx="53">
                  <c:v>0.14249999999999999</c:v>
                </c:pt>
                <c:pt idx="54">
                  <c:v>0.14499999999999999</c:v>
                </c:pt>
                <c:pt idx="55">
                  <c:v>0.14749999999999999</c:v>
                </c:pt>
                <c:pt idx="56">
                  <c:v>0.15</c:v>
                </c:pt>
                <c:pt idx="57">
                  <c:v>0.1525</c:v>
                </c:pt>
                <c:pt idx="58">
                  <c:v>0.155</c:v>
                </c:pt>
                <c:pt idx="59">
                  <c:v>0.1575</c:v>
                </c:pt>
                <c:pt idx="60">
                  <c:v>0.16</c:v>
                </c:pt>
                <c:pt idx="61">
                  <c:v>0.16250000000000001</c:v>
                </c:pt>
                <c:pt idx="62">
                  <c:v>0.16500000000000001</c:v>
                </c:pt>
                <c:pt idx="63">
                  <c:v>0.16750000000000001</c:v>
                </c:pt>
                <c:pt idx="64">
                  <c:v>0.17</c:v>
                </c:pt>
                <c:pt idx="65">
                  <c:v>0.17249999999999999</c:v>
                </c:pt>
                <c:pt idx="66">
                  <c:v>0.17499999999999999</c:v>
                </c:pt>
                <c:pt idx="67">
                  <c:v>0.17749999999999999</c:v>
                </c:pt>
                <c:pt idx="68">
                  <c:v>0.18</c:v>
                </c:pt>
                <c:pt idx="69">
                  <c:v>0.1825</c:v>
                </c:pt>
                <c:pt idx="70">
                  <c:v>0.185</c:v>
                </c:pt>
                <c:pt idx="71">
                  <c:v>0.1875</c:v>
                </c:pt>
                <c:pt idx="72">
                  <c:v>0.19</c:v>
                </c:pt>
                <c:pt idx="73">
                  <c:v>0.1925</c:v>
                </c:pt>
                <c:pt idx="74">
                  <c:v>0.19500000000000001</c:v>
                </c:pt>
                <c:pt idx="75">
                  <c:v>0.19750000000000001</c:v>
                </c:pt>
                <c:pt idx="76">
                  <c:v>0.2</c:v>
                </c:pt>
                <c:pt idx="77">
                  <c:v>0.20250000000000001</c:v>
                </c:pt>
                <c:pt idx="78">
                  <c:v>0.20499999999999999</c:v>
                </c:pt>
                <c:pt idx="79">
                  <c:v>0.20749999999999999</c:v>
                </c:pt>
                <c:pt idx="80">
                  <c:v>0.21</c:v>
                </c:pt>
                <c:pt idx="81">
                  <c:v>0.21249999999999999</c:v>
                </c:pt>
                <c:pt idx="82">
                  <c:v>0.215</c:v>
                </c:pt>
                <c:pt idx="83">
                  <c:v>0.2175</c:v>
                </c:pt>
                <c:pt idx="84">
                  <c:v>0.22</c:v>
                </c:pt>
                <c:pt idx="85">
                  <c:v>0.2225</c:v>
                </c:pt>
                <c:pt idx="86">
                  <c:v>0.22500000000000001</c:v>
                </c:pt>
                <c:pt idx="87">
                  <c:v>0.22750000000000001</c:v>
                </c:pt>
                <c:pt idx="88">
                  <c:v>0.23</c:v>
                </c:pt>
                <c:pt idx="89">
                  <c:v>0.23250000000000001</c:v>
                </c:pt>
                <c:pt idx="90">
                  <c:v>0.23499999999999999</c:v>
                </c:pt>
                <c:pt idx="91">
                  <c:v>0.23749999999999999</c:v>
                </c:pt>
                <c:pt idx="92">
                  <c:v>0.24</c:v>
                </c:pt>
                <c:pt idx="93">
                  <c:v>0.24249999999999999</c:v>
                </c:pt>
                <c:pt idx="94">
                  <c:v>0.245</c:v>
                </c:pt>
                <c:pt idx="95">
                  <c:v>0.2475</c:v>
                </c:pt>
                <c:pt idx="96">
                  <c:v>0.25</c:v>
                </c:pt>
              </c:numCache>
            </c:numRef>
          </c:cat>
          <c:val>
            <c:numRef>
              <c:f>'Put Sensitivity(consider Rfr)'!$D$18:$D$114</c:f>
              <c:numCache>
                <c:formatCode>General</c:formatCode>
                <c:ptCount val="97"/>
                <c:pt idx="0">
                  <c:v>17.403284899719964</c:v>
                </c:pt>
                <c:pt idx="1">
                  <c:v>17.222054493866843</c:v>
                </c:pt>
                <c:pt idx="2">
                  <c:v>17.042100118643305</c:v>
                </c:pt>
                <c:pt idx="3">
                  <c:v>16.863419424695252</c:v>
                </c:pt>
                <c:pt idx="4">
                  <c:v>16.686010012082079</c:v>
                </c:pt>
                <c:pt idx="5">
                  <c:v>16.509869430241508</c:v>
                </c:pt>
                <c:pt idx="6">
                  <c:v>16.33499517796546</c:v>
                </c:pt>
                <c:pt idx="7">
                  <c:v>16.161384703388158</c:v>
                </c:pt>
                <c:pt idx="8">
                  <c:v>15.989035403985852</c:v>
                </c:pt>
                <c:pt idx="9">
                  <c:v>15.817944626588364</c:v>
                </c:pt>
                <c:pt idx="10">
                  <c:v>15.648109667402416</c:v>
                </c:pt>
                <c:pt idx="11">
                  <c:v>15.479527772046787</c:v>
                </c:pt>
                <c:pt idx="12">
                  <c:v>15.312196135599258</c:v>
                </c:pt>
                <c:pt idx="13">
                  <c:v>15.146111902655441</c:v>
                </c:pt>
                <c:pt idx="14">
                  <c:v>14.981272167399354</c:v>
                </c:pt>
                <c:pt idx="15">
                  <c:v>14.817673973685807</c:v>
                </c:pt>
                <c:pt idx="16">
                  <c:v>14.655314315134504</c:v>
                </c:pt>
                <c:pt idx="17">
                  <c:v>14.49419013523616</c:v>
                </c:pt>
                <c:pt idx="18">
                  <c:v>14.334298327469938</c:v>
                </c:pt>
                <c:pt idx="19">
                  <c:v>14.175635735433026</c:v>
                </c:pt>
                <c:pt idx="20">
                  <c:v>14.018199152981637</c:v>
                </c:pt>
                <c:pt idx="21">
                  <c:v>13.861985324383703</c:v>
                </c:pt>
                <c:pt idx="22">
                  <c:v>13.706990944483259</c:v>
                </c:pt>
                <c:pt idx="23">
                  <c:v>13.553212658876305</c:v>
                </c:pt>
                <c:pt idx="24">
                  <c:v>13.400647064098266</c:v>
                </c:pt>
                <c:pt idx="25">
                  <c:v>13.249290707822809</c:v>
                </c:pt>
                <c:pt idx="26">
                  <c:v>13.099140089072236</c:v>
                </c:pt>
                <c:pt idx="27">
                  <c:v>12.950191658439053</c:v>
                </c:pt>
                <c:pt idx="28">
                  <c:v>12.802441818318947</c:v>
                </c:pt>
                <c:pt idx="29">
                  <c:v>12.655886923155016</c:v>
                </c:pt>
                <c:pt idx="30">
                  <c:v>12.510523279692954</c:v>
                </c:pt>
                <c:pt idx="31">
                  <c:v>12.366347147247581</c:v>
                </c:pt>
                <c:pt idx="32">
                  <c:v>12.223354737980188</c:v>
                </c:pt>
                <c:pt idx="33">
                  <c:v>12.081542217186858</c:v>
                </c:pt>
                <c:pt idx="34">
                  <c:v>11.940905703597643</c:v>
                </c:pt>
                <c:pt idx="35">
                  <c:v>11.801441269686414</c:v>
                </c:pt>
                <c:pt idx="36">
                  <c:v>11.663144941991433</c:v>
                </c:pt>
                <c:pt idx="37">
                  <c:v>11.526012701446447</c:v>
                </c:pt>
                <c:pt idx="38">
                  <c:v>11.390040483722188</c:v>
                </c:pt>
                <c:pt idx="39">
                  <c:v>11.255224179578249</c:v>
                </c:pt>
                <c:pt idx="40">
                  <c:v>11.121559635225317</c:v>
                </c:pt>
                <c:pt idx="41">
                  <c:v>10.989042652697272</c:v>
                </c:pt>
                <c:pt idx="42">
                  <c:v>10.857668990233542</c:v>
                </c:pt>
                <c:pt idx="43">
                  <c:v>10.727434362671239</c:v>
                </c:pt>
                <c:pt idx="44">
                  <c:v>10.598334441847037</c:v>
                </c:pt>
                <c:pt idx="45">
                  <c:v>10.470364857008775</c:v>
                </c:pt>
                <c:pt idx="46">
                  <c:v>10.343521195236555</c:v>
                </c:pt>
                <c:pt idx="47">
                  <c:v>10.217799001873161</c:v>
                </c:pt>
                <c:pt idx="48">
                  <c:v>10.093193780963851</c:v>
                </c:pt>
                <c:pt idx="49">
                  <c:v>9.9697009957051748</c:v>
                </c:pt>
                <c:pt idx="50">
                  <c:v>9.847316068902785</c:v>
                </c:pt>
                <c:pt idx="51">
                  <c:v>9.726034383438062</c:v>
                </c:pt>
                <c:pt idx="52">
                  <c:v>9.6058512827434939</c:v>
                </c:pt>
                <c:pt idx="53">
                  <c:v>9.4867620712865275</c:v>
                </c:pt>
                <c:pt idx="54">
                  <c:v>9.36876201506184</c:v>
                </c:pt>
                <c:pt idx="55">
                  <c:v>9.251846342091838</c:v>
                </c:pt>
                <c:pt idx="56">
                  <c:v>9.1360102429351784</c:v>
                </c:pt>
                <c:pt idx="57">
                  <c:v>9.0212488712033476</c:v>
                </c:pt>
                <c:pt idx="58">
                  <c:v>8.9075573440847648</c:v>
                </c:pt>
                <c:pt idx="59">
                  <c:v>8.7949307428767654</c:v>
                </c:pt>
                <c:pt idx="60">
                  <c:v>8.6833641135247177</c:v>
                </c:pt>
                <c:pt idx="61">
                  <c:v>8.5728524671686372</c:v>
                </c:pt>
                <c:pt idx="62">
                  <c:v>8.4633907806967485</c:v>
                </c:pt>
                <c:pt idx="63">
                  <c:v>8.3549739973059616</c:v>
                </c:pt>
                <c:pt idx="64">
                  <c:v>8.2475970270692187</c:v>
                </c:pt>
                <c:pt idx="65">
                  <c:v>8.1412547475091728</c:v>
                </c:pt>
                <c:pt idx="66">
                  <c:v>8.0359420041785015</c:v>
                </c:pt>
                <c:pt idx="67">
                  <c:v>7.9316536112462614</c:v>
                </c:pt>
                <c:pt idx="68">
                  <c:v>7.8283843520903034</c:v>
                </c:pt>
                <c:pt idx="69">
                  <c:v>7.7261289798955843</c:v>
                </c:pt>
                <c:pt idx="70">
                  <c:v>7.6248822182580369</c:v>
                </c:pt>
                <c:pt idx="71">
                  <c:v>7.5246387617939661</c:v>
                </c:pt>
                <c:pt idx="72">
                  <c:v>7.4253932767547184</c:v>
                </c:pt>
                <c:pt idx="73">
                  <c:v>7.3271404016464956</c:v>
                </c:pt>
                <c:pt idx="74">
                  <c:v>7.2298747478549608</c:v>
                </c:pt>
                <c:pt idx="75">
                  <c:v>7.1335909002745943</c:v>
                </c:pt>
                <c:pt idx="76">
                  <c:v>7.0382834179426901</c:v>
                </c:pt>
                <c:pt idx="77">
                  <c:v>6.9439468346774902</c:v>
                </c:pt>
                <c:pt idx="78">
                  <c:v>6.8505756597205512</c:v>
                </c:pt>
                <c:pt idx="79">
                  <c:v>6.758164378383082</c:v>
                </c:pt>
                <c:pt idx="80">
                  <c:v>6.6667074526959169</c:v>
                </c:pt>
                <c:pt idx="81">
                  <c:v>6.5761993220632036</c:v>
                </c:pt>
                <c:pt idx="82">
                  <c:v>6.4866344039192541</c:v>
                </c:pt>
                <c:pt idx="83">
                  <c:v>6.3980070943886176</c:v>
                </c:pt>
                <c:pt idx="84">
                  <c:v>6.3103117689492372</c:v>
                </c:pt>
                <c:pt idx="85">
                  <c:v>6.2235427830981678</c:v>
                </c:pt>
                <c:pt idx="86">
                  <c:v>6.1376944730199909</c:v>
                </c:pt>
                <c:pt idx="87">
                  <c:v>6.0527611562575423</c:v>
                </c:pt>
                <c:pt idx="88">
                  <c:v>5.9687371323848488</c:v>
                </c:pt>
                <c:pt idx="89">
                  <c:v>5.8856166836819312</c:v>
                </c:pt>
                <c:pt idx="90">
                  <c:v>5.8033940758115676</c:v>
                </c:pt>
                <c:pt idx="91">
                  <c:v>5.722063558497414</c:v>
                </c:pt>
                <c:pt idx="92">
                  <c:v>5.6416193662036846</c:v>
                </c:pt>
                <c:pt idx="93">
                  <c:v>5.562055718815909</c:v>
                </c:pt>
                <c:pt idx="94">
                  <c:v>5.4833668223227434</c:v>
                </c:pt>
                <c:pt idx="95">
                  <c:v>5.4055468694984796</c:v>
                </c:pt>
                <c:pt idx="96">
                  <c:v>5.328590040586306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E6-354C-9E4B-D92D5ABB1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9391455"/>
        <c:axId val="1479172015"/>
      </c:lineChart>
      <c:catAx>
        <c:axId val="1479391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172015"/>
        <c:crosses val="autoZero"/>
        <c:auto val="1"/>
        <c:lblAlgn val="ctr"/>
        <c:lblOffset val="100"/>
        <c:noMultiLvlLbl val="0"/>
      </c:catAx>
      <c:valAx>
        <c:axId val="1479172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391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Put</a:t>
            </a:r>
            <a:r>
              <a:rPr lang="en-US" baseline="0"/>
              <a:t> Price with change to Dividend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'Put Sensitivity (consider div)'!$C$15</c:f>
              <c:strCache>
                <c:ptCount val="1"/>
                <c:pt idx="0">
                  <c:v>Fixed-Strike</c:v>
                </c:pt>
              </c:strCache>
            </c:strRef>
          </c:tx>
          <c:marker>
            <c:symbol val="none"/>
          </c:marker>
          <c:cat>
            <c:numRef>
              <c:f>'Put Sensitivity (consider div)'!$B$16:$B$112</c:f>
              <c:numCache>
                <c:formatCode>General</c:formatCode>
                <c:ptCount val="97"/>
                <c:pt idx="0">
                  <c:v>0</c:v>
                </c:pt>
                <c:pt idx="1">
                  <c:v>1.2500000000000001E-2</c:v>
                </c:pt>
                <c:pt idx="2">
                  <c:v>1.4999999999999999E-2</c:v>
                </c:pt>
                <c:pt idx="3">
                  <c:v>1.7500000000000002E-2</c:v>
                </c:pt>
                <c:pt idx="4">
                  <c:v>0.02</c:v>
                </c:pt>
                <c:pt idx="5">
                  <c:v>2.2499999999999999E-2</c:v>
                </c:pt>
                <c:pt idx="6">
                  <c:v>2.5000000000000001E-2</c:v>
                </c:pt>
                <c:pt idx="7">
                  <c:v>2.75E-2</c:v>
                </c:pt>
                <c:pt idx="8">
                  <c:v>0.03</c:v>
                </c:pt>
                <c:pt idx="9">
                  <c:v>3.2500000000000001E-2</c:v>
                </c:pt>
                <c:pt idx="10">
                  <c:v>3.5000000000000003E-2</c:v>
                </c:pt>
                <c:pt idx="11">
                  <c:v>3.7499999999999999E-2</c:v>
                </c:pt>
                <c:pt idx="12">
                  <c:v>0.04</c:v>
                </c:pt>
                <c:pt idx="13">
                  <c:v>4.2500000000000003E-2</c:v>
                </c:pt>
                <c:pt idx="14">
                  <c:v>4.4999999999999998E-2</c:v>
                </c:pt>
                <c:pt idx="15">
                  <c:v>4.7500000000000001E-2</c:v>
                </c:pt>
                <c:pt idx="16">
                  <c:v>0.05</c:v>
                </c:pt>
                <c:pt idx="17">
                  <c:v>5.2499999999999998E-2</c:v>
                </c:pt>
                <c:pt idx="18">
                  <c:v>5.5E-2</c:v>
                </c:pt>
                <c:pt idx="19">
                  <c:v>5.7500000000000002E-2</c:v>
                </c:pt>
                <c:pt idx="20">
                  <c:v>0.06</c:v>
                </c:pt>
                <c:pt idx="21">
                  <c:v>6.25E-2</c:v>
                </c:pt>
                <c:pt idx="22">
                  <c:v>6.5000000000000002E-2</c:v>
                </c:pt>
                <c:pt idx="23">
                  <c:v>6.7500000000000004E-2</c:v>
                </c:pt>
                <c:pt idx="24">
                  <c:v>7.0000000000000007E-2</c:v>
                </c:pt>
                <c:pt idx="25">
                  <c:v>7.2499999999999995E-2</c:v>
                </c:pt>
                <c:pt idx="26">
                  <c:v>7.4999999999999997E-2</c:v>
                </c:pt>
                <c:pt idx="27">
                  <c:v>7.7499999999999999E-2</c:v>
                </c:pt>
                <c:pt idx="28">
                  <c:v>0.08</c:v>
                </c:pt>
                <c:pt idx="29">
                  <c:v>8.2500000000000004E-2</c:v>
                </c:pt>
                <c:pt idx="30">
                  <c:v>8.5000000000000006E-2</c:v>
                </c:pt>
                <c:pt idx="31">
                  <c:v>8.7499999999999994E-2</c:v>
                </c:pt>
                <c:pt idx="32">
                  <c:v>0.09</c:v>
                </c:pt>
                <c:pt idx="33">
                  <c:v>9.2499999999999999E-2</c:v>
                </c:pt>
                <c:pt idx="34">
                  <c:v>9.5000000000000001E-2</c:v>
                </c:pt>
                <c:pt idx="35">
                  <c:v>9.7500000000000003E-2</c:v>
                </c:pt>
                <c:pt idx="36">
                  <c:v>0.1</c:v>
                </c:pt>
                <c:pt idx="37">
                  <c:v>0.10249999999999999</c:v>
                </c:pt>
                <c:pt idx="38">
                  <c:v>0.105</c:v>
                </c:pt>
                <c:pt idx="39">
                  <c:v>0.1075</c:v>
                </c:pt>
                <c:pt idx="40">
                  <c:v>0.11</c:v>
                </c:pt>
                <c:pt idx="41">
                  <c:v>0.1125</c:v>
                </c:pt>
                <c:pt idx="42">
                  <c:v>0.115</c:v>
                </c:pt>
                <c:pt idx="43">
                  <c:v>0.11749999999999999</c:v>
                </c:pt>
                <c:pt idx="44">
                  <c:v>0.12</c:v>
                </c:pt>
                <c:pt idx="45">
                  <c:v>0.1225</c:v>
                </c:pt>
                <c:pt idx="46">
                  <c:v>0.125</c:v>
                </c:pt>
                <c:pt idx="47">
                  <c:v>0.1275</c:v>
                </c:pt>
                <c:pt idx="48">
                  <c:v>0.13</c:v>
                </c:pt>
                <c:pt idx="49">
                  <c:v>0.13250000000000001</c:v>
                </c:pt>
                <c:pt idx="50">
                  <c:v>0.13500000000000001</c:v>
                </c:pt>
                <c:pt idx="51">
                  <c:v>0.13750000000000001</c:v>
                </c:pt>
                <c:pt idx="52">
                  <c:v>0.14000000000000001</c:v>
                </c:pt>
                <c:pt idx="53">
                  <c:v>0.14249999999999999</c:v>
                </c:pt>
                <c:pt idx="54">
                  <c:v>0.14499999999999999</c:v>
                </c:pt>
                <c:pt idx="55">
                  <c:v>0.14749999999999999</c:v>
                </c:pt>
                <c:pt idx="56">
                  <c:v>0.15</c:v>
                </c:pt>
                <c:pt idx="57">
                  <c:v>0.1525</c:v>
                </c:pt>
                <c:pt idx="58">
                  <c:v>0.155</c:v>
                </c:pt>
                <c:pt idx="59">
                  <c:v>0.1575</c:v>
                </c:pt>
                <c:pt idx="60">
                  <c:v>0.16</c:v>
                </c:pt>
                <c:pt idx="61">
                  <c:v>0.16250000000000001</c:v>
                </c:pt>
                <c:pt idx="62">
                  <c:v>0.16500000000000001</c:v>
                </c:pt>
                <c:pt idx="63">
                  <c:v>0.16750000000000001</c:v>
                </c:pt>
                <c:pt idx="64">
                  <c:v>0.17</c:v>
                </c:pt>
                <c:pt idx="65">
                  <c:v>0.17249999999999999</c:v>
                </c:pt>
                <c:pt idx="66">
                  <c:v>0.17499999999999999</c:v>
                </c:pt>
                <c:pt idx="67">
                  <c:v>0.17749999999999999</c:v>
                </c:pt>
                <c:pt idx="68">
                  <c:v>0.18</c:v>
                </c:pt>
                <c:pt idx="69">
                  <c:v>0.1825</c:v>
                </c:pt>
                <c:pt idx="70">
                  <c:v>0.185</c:v>
                </c:pt>
                <c:pt idx="71">
                  <c:v>0.1875</c:v>
                </c:pt>
                <c:pt idx="72">
                  <c:v>0.19</c:v>
                </c:pt>
                <c:pt idx="73">
                  <c:v>0.1925</c:v>
                </c:pt>
                <c:pt idx="74">
                  <c:v>0.19500000000000001</c:v>
                </c:pt>
                <c:pt idx="75">
                  <c:v>0.19750000000000001</c:v>
                </c:pt>
                <c:pt idx="76">
                  <c:v>0.2</c:v>
                </c:pt>
                <c:pt idx="77">
                  <c:v>0.20250000000000001</c:v>
                </c:pt>
                <c:pt idx="78">
                  <c:v>0.20499999999999999</c:v>
                </c:pt>
                <c:pt idx="79">
                  <c:v>0.20749999999999999</c:v>
                </c:pt>
                <c:pt idx="80">
                  <c:v>0.21</c:v>
                </c:pt>
                <c:pt idx="81">
                  <c:v>0.21249999999999999</c:v>
                </c:pt>
                <c:pt idx="82">
                  <c:v>0.215</c:v>
                </c:pt>
                <c:pt idx="83">
                  <c:v>0.2175</c:v>
                </c:pt>
                <c:pt idx="84">
                  <c:v>0.22</c:v>
                </c:pt>
                <c:pt idx="85">
                  <c:v>0.2225</c:v>
                </c:pt>
                <c:pt idx="86">
                  <c:v>0.22500000000000001</c:v>
                </c:pt>
                <c:pt idx="87">
                  <c:v>0.22750000000000001</c:v>
                </c:pt>
                <c:pt idx="88">
                  <c:v>0.23</c:v>
                </c:pt>
                <c:pt idx="89">
                  <c:v>0.23250000000000001</c:v>
                </c:pt>
                <c:pt idx="90">
                  <c:v>0.23499999999999999</c:v>
                </c:pt>
                <c:pt idx="91">
                  <c:v>0.23749999999999999</c:v>
                </c:pt>
                <c:pt idx="92">
                  <c:v>0.24</c:v>
                </c:pt>
                <c:pt idx="93">
                  <c:v>0.24249999999999999</c:v>
                </c:pt>
                <c:pt idx="94">
                  <c:v>0.245</c:v>
                </c:pt>
                <c:pt idx="95">
                  <c:v>0.2475</c:v>
                </c:pt>
                <c:pt idx="96">
                  <c:v>0.25</c:v>
                </c:pt>
              </c:numCache>
            </c:numRef>
          </c:cat>
          <c:val>
            <c:numRef>
              <c:f>'Put Sensitivity (consider div)'!$C$16:$C$112</c:f>
              <c:numCache>
                <c:formatCode>General</c:formatCode>
                <c:ptCount val="97"/>
                <c:pt idx="0">
                  <c:v>6.9472553360624918</c:v>
                </c:pt>
                <c:pt idx="1">
                  <c:v>6.6540496754909793</c:v>
                </c:pt>
                <c:pt idx="2">
                  <c:v>6.5926238734747695</c:v>
                </c:pt>
                <c:pt idx="3">
                  <c:v>6.5302646770824415</c:v>
                </c:pt>
                <c:pt idx="4">
                  <c:v>6.4669701031738667</c:v>
                </c:pt>
                <c:pt idx="5">
                  <c:v>6.4027382886930297</c:v>
                </c:pt>
                <c:pt idx="6">
                  <c:v>6.3375674926309422</c:v>
                </c:pt>
                <c:pt idx="7">
                  <c:v>6.2714560979757668</c:v>
                </c:pt>
                <c:pt idx="8">
                  <c:v>6.2044026136484662</c:v>
                </c:pt>
                <c:pt idx="9">
                  <c:v>6.1364056764230499</c:v>
                </c:pt>
                <c:pt idx="10">
                  <c:v>6.067464052830104</c:v>
                </c:pt>
                <c:pt idx="11">
                  <c:v>5.9975766410419595</c:v>
                </c:pt>
                <c:pt idx="12">
                  <c:v>5.926742472738721</c:v>
                </c:pt>
                <c:pt idx="13">
                  <c:v>5.8549607149533696</c:v>
                </c:pt>
                <c:pt idx="14">
                  <c:v>5.7822306718950847</c:v>
                </c:pt>
                <c:pt idx="15">
                  <c:v>5.7085517867487301</c:v>
                </c:pt>
                <c:pt idx="17">
                  <c:v>5.5583459684374406</c:v>
                </c:pt>
                <c:pt idx="18">
                  <c:v>5.481818632367542</c:v>
                </c:pt>
                <c:pt idx="19">
                  <c:v>5.4043416518149536</c:v>
                </c:pt>
                <c:pt idx="20">
                  <c:v>5.3259151909323954</c:v>
                </c:pt>
                <c:pt idx="21">
                  <c:v>5.2465395630829619</c:v>
                </c:pt>
                <c:pt idx="22">
                  <c:v>5.1662152324398321</c:v>
                </c:pt>
                <c:pt idx="23">
                  <c:v>5.084942815551365</c:v>
                </c:pt>
                <c:pt idx="24">
                  <c:v>5.0027230828713645</c:v>
                </c:pt>
                <c:pt idx="25">
                  <c:v>4.9195569602526215</c:v>
                </c:pt>
                <c:pt idx="26">
                  <c:v>4.8354455304026249</c:v>
                </c:pt>
                <c:pt idx="27">
                  <c:v>4.7503900343000618</c:v>
                </c:pt>
                <c:pt idx="28">
                  <c:v>4.6643918725710138</c:v>
                </c:pt>
                <c:pt idx="29">
                  <c:v>4.5774526068233001</c:v>
                </c:pt>
                <c:pt idx="30">
                  <c:v>4.4895739609379497</c:v>
                </c:pt>
                <c:pt idx="31">
                  <c:v>4.4007578223164066</c:v>
                </c:pt>
                <c:pt idx="32">
                  <c:v>4.3110062430822831</c:v>
                </c:pt>
                <c:pt idx="33">
                  <c:v>4.2203214412365444</c:v>
                </c:pt>
                <c:pt idx="34">
                  <c:v>4.1287058017647009</c:v>
                </c:pt>
                <c:pt idx="35">
                  <c:v>4.0361618776950712</c:v>
                </c:pt>
                <c:pt idx="36">
                  <c:v>3.9426923911067457</c:v>
                </c:pt>
                <c:pt idx="37">
                  <c:v>3.8483002340863486</c:v>
                </c:pt>
                <c:pt idx="38">
                  <c:v>3.7529884696321605</c:v>
                </c:pt>
                <c:pt idx="39">
                  <c:v>3.6567603325048128</c:v>
                </c:pt>
                <c:pt idx="40">
                  <c:v>3.5596192300233271</c:v>
                </c:pt>
                <c:pt idx="41">
                  <c:v>3.4615687428054067</c:v>
                </c:pt>
                <c:pt idx="42">
                  <c:v>3.3626126254511264</c:v>
                </c:pt>
                <c:pt idx="43">
                  <c:v>3.262754807168851</c:v>
                </c:pt>
                <c:pt idx="44">
                  <c:v>3.1619993923425054</c:v>
                </c:pt>
                <c:pt idx="45">
                  <c:v>3.0603506610392701</c:v>
                </c:pt>
                <c:pt idx="46">
                  <c:v>2.9578130694567486</c:v>
                </c:pt>
                <c:pt idx="47">
                  <c:v>2.8543912503087294</c:v>
                </c:pt>
                <c:pt idx="48">
                  <c:v>2.7500900131487729</c:v>
                </c:pt>
                <c:pt idx="49">
                  <c:v>2.6449143446306924</c:v>
                </c:pt>
                <c:pt idx="50">
                  <c:v>2.5388694087052901</c:v>
                </c:pt>
                <c:pt idx="51">
                  <c:v>2.4319605467524767</c:v>
                </c:pt>
                <c:pt idx="52">
                  <c:v>2.3241932776481642</c:v>
                </c:pt>
                <c:pt idx="53">
                  <c:v>2.2155732977652121</c:v>
                </c:pt>
                <c:pt idx="54">
                  <c:v>2.106106480907826</c:v>
                </c:pt>
                <c:pt idx="55">
                  <c:v>1.9957988781787834</c:v>
                </c:pt>
                <c:pt idx="56">
                  <c:v>1.8846567177789841</c:v>
                </c:pt>
                <c:pt idx="57">
                  <c:v>1.7726864047387367</c:v>
                </c:pt>
                <c:pt idx="58">
                  <c:v>1.6598945205803959</c:v>
                </c:pt>
                <c:pt idx="59">
                  <c:v>1.5462878229118535</c:v>
                </c:pt>
                <c:pt idx="60">
                  <c:v>1.4318732449505172</c:v>
                </c:pt>
                <c:pt idx="61">
                  <c:v>1.3166578949774372</c:v>
                </c:pt>
                <c:pt idx="62">
                  <c:v>1.2006490557212757</c:v>
                </c:pt>
                <c:pt idx="63">
                  <c:v>1.0838541836718332</c:v>
                </c:pt>
                <c:pt idx="64">
                  <c:v>0.96628090832296476</c:v>
                </c:pt>
                <c:pt idx="65">
                  <c:v>0.84793703134466947</c:v>
                </c:pt>
                <c:pt idx="66">
                  <c:v>0.72883052568424356</c:v>
                </c:pt>
                <c:pt idx="67">
                  <c:v>0.60896953459642922</c:v>
                </c:pt>
                <c:pt idx="68">
                  <c:v>0.48836237060252385</c:v>
                </c:pt>
                <c:pt idx="69">
                  <c:v>0.3670175143784174</c:v>
                </c:pt>
                <c:pt idx="70">
                  <c:v>0.24494361357167635</c:v>
                </c:pt>
                <c:pt idx="71">
                  <c:v>0.12214948154774558</c:v>
                </c:pt>
                <c:pt idx="72">
                  <c:v>-1.3559039345788536E-3</c:v>
                </c:pt>
                <c:pt idx="73">
                  <c:v>-0.12556340211820147</c:v>
                </c:pt>
                <c:pt idx="74">
                  <c:v>-0.2504637107130791</c:v>
                </c:pt>
                <c:pt idx="75">
                  <c:v>-0.37604736743153266</c:v>
                </c:pt>
                <c:pt idx="76">
                  <c:v>-0.50230475159325016</c:v>
                </c:pt>
                <c:pt idx="77">
                  <c:v>-0.62922608579954065</c:v>
                </c:pt>
                <c:pt idx="78">
                  <c:v>-0.75680143767641295</c:v>
                </c:pt>
                <c:pt idx="79">
                  <c:v>-0.88502072168605739</c:v>
                </c:pt>
                <c:pt idx="80">
                  <c:v>-1.0138737010061112</c:v>
                </c:pt>
                <c:pt idx="81">
                  <c:v>-1.1433499894762156</c:v>
                </c:pt>
                <c:pt idx="82">
                  <c:v>-1.2734390536112306</c:v>
                </c:pt>
                <c:pt idx="83">
                  <c:v>-1.4041302146803947</c:v>
                </c:pt>
                <c:pt idx="84">
                  <c:v>-1.5354126508518022</c:v>
                </c:pt>
                <c:pt idx="85">
                  <c:v>-1.6672753994013836</c:v>
                </c:pt>
                <c:pt idx="86">
                  <c:v>-1.7997073589855961</c:v>
                </c:pt>
                <c:pt idx="87">
                  <c:v>-1.9326972919770335</c:v>
                </c:pt>
                <c:pt idx="88">
                  <c:v>-2.0662338268620024</c:v>
                </c:pt>
                <c:pt idx="89">
                  <c:v>-2.2003054606991985</c:v>
                </c:pt>
                <c:pt idx="90">
                  <c:v>-2.3349005616384511</c:v>
                </c:pt>
                <c:pt idx="91">
                  <c:v>-2.4700073714985722</c:v>
                </c:pt>
                <c:pt idx="92">
                  <c:v>-2.6056140084032497</c:v>
                </c:pt>
                <c:pt idx="93">
                  <c:v>-2.7417084694738589</c:v>
                </c:pt>
                <c:pt idx="94">
                  <c:v>-2.8782786335780934</c:v>
                </c:pt>
                <c:pt idx="95">
                  <c:v>-3.0153122641332391</c:v>
                </c:pt>
                <c:pt idx="96">
                  <c:v>-3.1527970119628446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C5-3140-A3A4-7724E9DAB9EA}"/>
            </c:ext>
          </c:extLst>
        </c:ser>
        <c:ser>
          <c:idx val="2"/>
          <c:order val="1"/>
          <c:tx>
            <c:strRef>
              <c:f>'Put Sensitivity (consider div)'!$D$15</c:f>
              <c:strCache>
                <c:ptCount val="1"/>
                <c:pt idx="0">
                  <c:v>Black Scholes</c:v>
                </c:pt>
              </c:strCache>
            </c:strRef>
          </c:tx>
          <c:marker>
            <c:symbol val="none"/>
          </c:marker>
          <c:cat>
            <c:numRef>
              <c:f>'Put Sensitivity (consider div)'!$B$16:$B$112</c:f>
              <c:numCache>
                <c:formatCode>General</c:formatCode>
                <c:ptCount val="97"/>
                <c:pt idx="0">
                  <c:v>0</c:v>
                </c:pt>
                <c:pt idx="1">
                  <c:v>1.2500000000000001E-2</c:v>
                </c:pt>
                <c:pt idx="2">
                  <c:v>1.4999999999999999E-2</c:v>
                </c:pt>
                <c:pt idx="3">
                  <c:v>1.7500000000000002E-2</c:v>
                </c:pt>
                <c:pt idx="4">
                  <c:v>0.02</c:v>
                </c:pt>
                <c:pt idx="5">
                  <c:v>2.2499999999999999E-2</c:v>
                </c:pt>
                <c:pt idx="6">
                  <c:v>2.5000000000000001E-2</c:v>
                </c:pt>
                <c:pt idx="7">
                  <c:v>2.75E-2</c:v>
                </c:pt>
                <c:pt idx="8">
                  <c:v>0.03</c:v>
                </c:pt>
                <c:pt idx="9">
                  <c:v>3.2500000000000001E-2</c:v>
                </c:pt>
                <c:pt idx="10">
                  <c:v>3.5000000000000003E-2</c:v>
                </c:pt>
                <c:pt idx="11">
                  <c:v>3.7499999999999999E-2</c:v>
                </c:pt>
                <c:pt idx="12">
                  <c:v>0.04</c:v>
                </c:pt>
                <c:pt idx="13">
                  <c:v>4.2500000000000003E-2</c:v>
                </c:pt>
                <c:pt idx="14">
                  <c:v>4.4999999999999998E-2</c:v>
                </c:pt>
                <c:pt idx="15">
                  <c:v>4.7500000000000001E-2</c:v>
                </c:pt>
                <c:pt idx="16">
                  <c:v>0.05</c:v>
                </c:pt>
                <c:pt idx="17">
                  <c:v>5.2499999999999998E-2</c:v>
                </c:pt>
                <c:pt idx="18">
                  <c:v>5.5E-2</c:v>
                </c:pt>
                <c:pt idx="19">
                  <c:v>5.7500000000000002E-2</c:v>
                </c:pt>
                <c:pt idx="20">
                  <c:v>0.06</c:v>
                </c:pt>
                <c:pt idx="21">
                  <c:v>6.25E-2</c:v>
                </c:pt>
                <c:pt idx="22">
                  <c:v>6.5000000000000002E-2</c:v>
                </c:pt>
                <c:pt idx="23">
                  <c:v>6.7500000000000004E-2</c:v>
                </c:pt>
                <c:pt idx="24">
                  <c:v>7.0000000000000007E-2</c:v>
                </c:pt>
                <c:pt idx="25">
                  <c:v>7.2499999999999995E-2</c:v>
                </c:pt>
                <c:pt idx="26">
                  <c:v>7.4999999999999997E-2</c:v>
                </c:pt>
                <c:pt idx="27">
                  <c:v>7.7499999999999999E-2</c:v>
                </c:pt>
                <c:pt idx="28">
                  <c:v>0.08</c:v>
                </c:pt>
                <c:pt idx="29">
                  <c:v>8.2500000000000004E-2</c:v>
                </c:pt>
                <c:pt idx="30">
                  <c:v>8.5000000000000006E-2</c:v>
                </c:pt>
                <c:pt idx="31">
                  <c:v>8.7499999999999994E-2</c:v>
                </c:pt>
                <c:pt idx="32">
                  <c:v>0.09</c:v>
                </c:pt>
                <c:pt idx="33">
                  <c:v>9.2499999999999999E-2</c:v>
                </c:pt>
                <c:pt idx="34">
                  <c:v>9.5000000000000001E-2</c:v>
                </c:pt>
                <c:pt idx="35">
                  <c:v>9.7500000000000003E-2</c:v>
                </c:pt>
                <c:pt idx="36">
                  <c:v>0.1</c:v>
                </c:pt>
                <c:pt idx="37">
                  <c:v>0.10249999999999999</c:v>
                </c:pt>
                <c:pt idx="38">
                  <c:v>0.105</c:v>
                </c:pt>
                <c:pt idx="39">
                  <c:v>0.1075</c:v>
                </c:pt>
                <c:pt idx="40">
                  <c:v>0.11</c:v>
                </c:pt>
                <c:pt idx="41">
                  <c:v>0.1125</c:v>
                </c:pt>
                <c:pt idx="42">
                  <c:v>0.115</c:v>
                </c:pt>
                <c:pt idx="43">
                  <c:v>0.11749999999999999</c:v>
                </c:pt>
                <c:pt idx="44">
                  <c:v>0.12</c:v>
                </c:pt>
                <c:pt idx="45">
                  <c:v>0.1225</c:v>
                </c:pt>
                <c:pt idx="46">
                  <c:v>0.125</c:v>
                </c:pt>
                <c:pt idx="47">
                  <c:v>0.1275</c:v>
                </c:pt>
                <c:pt idx="48">
                  <c:v>0.13</c:v>
                </c:pt>
                <c:pt idx="49">
                  <c:v>0.13250000000000001</c:v>
                </c:pt>
                <c:pt idx="50">
                  <c:v>0.13500000000000001</c:v>
                </c:pt>
                <c:pt idx="51">
                  <c:v>0.13750000000000001</c:v>
                </c:pt>
                <c:pt idx="52">
                  <c:v>0.14000000000000001</c:v>
                </c:pt>
                <c:pt idx="53">
                  <c:v>0.14249999999999999</c:v>
                </c:pt>
                <c:pt idx="54">
                  <c:v>0.14499999999999999</c:v>
                </c:pt>
                <c:pt idx="55">
                  <c:v>0.14749999999999999</c:v>
                </c:pt>
                <c:pt idx="56">
                  <c:v>0.15</c:v>
                </c:pt>
                <c:pt idx="57">
                  <c:v>0.1525</c:v>
                </c:pt>
                <c:pt idx="58">
                  <c:v>0.155</c:v>
                </c:pt>
                <c:pt idx="59">
                  <c:v>0.1575</c:v>
                </c:pt>
                <c:pt idx="60">
                  <c:v>0.16</c:v>
                </c:pt>
                <c:pt idx="61">
                  <c:v>0.16250000000000001</c:v>
                </c:pt>
                <c:pt idx="62">
                  <c:v>0.16500000000000001</c:v>
                </c:pt>
                <c:pt idx="63">
                  <c:v>0.16750000000000001</c:v>
                </c:pt>
                <c:pt idx="64">
                  <c:v>0.17</c:v>
                </c:pt>
                <c:pt idx="65">
                  <c:v>0.17249999999999999</c:v>
                </c:pt>
                <c:pt idx="66">
                  <c:v>0.17499999999999999</c:v>
                </c:pt>
                <c:pt idx="67">
                  <c:v>0.17749999999999999</c:v>
                </c:pt>
                <c:pt idx="68">
                  <c:v>0.18</c:v>
                </c:pt>
                <c:pt idx="69">
                  <c:v>0.1825</c:v>
                </c:pt>
                <c:pt idx="70">
                  <c:v>0.185</c:v>
                </c:pt>
                <c:pt idx="71">
                  <c:v>0.1875</c:v>
                </c:pt>
                <c:pt idx="72">
                  <c:v>0.19</c:v>
                </c:pt>
                <c:pt idx="73">
                  <c:v>0.1925</c:v>
                </c:pt>
                <c:pt idx="74">
                  <c:v>0.19500000000000001</c:v>
                </c:pt>
                <c:pt idx="75">
                  <c:v>0.19750000000000001</c:v>
                </c:pt>
                <c:pt idx="76">
                  <c:v>0.2</c:v>
                </c:pt>
                <c:pt idx="77">
                  <c:v>0.20250000000000001</c:v>
                </c:pt>
                <c:pt idx="78">
                  <c:v>0.20499999999999999</c:v>
                </c:pt>
                <c:pt idx="79">
                  <c:v>0.20749999999999999</c:v>
                </c:pt>
                <c:pt idx="80">
                  <c:v>0.21</c:v>
                </c:pt>
                <c:pt idx="81">
                  <c:v>0.21249999999999999</c:v>
                </c:pt>
                <c:pt idx="82">
                  <c:v>0.215</c:v>
                </c:pt>
                <c:pt idx="83">
                  <c:v>0.2175</c:v>
                </c:pt>
                <c:pt idx="84">
                  <c:v>0.22</c:v>
                </c:pt>
                <c:pt idx="85">
                  <c:v>0.2225</c:v>
                </c:pt>
                <c:pt idx="86">
                  <c:v>0.22500000000000001</c:v>
                </c:pt>
                <c:pt idx="87">
                  <c:v>0.22750000000000001</c:v>
                </c:pt>
                <c:pt idx="88">
                  <c:v>0.23</c:v>
                </c:pt>
                <c:pt idx="89">
                  <c:v>0.23250000000000001</c:v>
                </c:pt>
                <c:pt idx="90">
                  <c:v>0.23499999999999999</c:v>
                </c:pt>
                <c:pt idx="91">
                  <c:v>0.23749999999999999</c:v>
                </c:pt>
                <c:pt idx="92">
                  <c:v>0.24</c:v>
                </c:pt>
                <c:pt idx="93">
                  <c:v>0.24249999999999999</c:v>
                </c:pt>
                <c:pt idx="94">
                  <c:v>0.245</c:v>
                </c:pt>
                <c:pt idx="95">
                  <c:v>0.2475</c:v>
                </c:pt>
                <c:pt idx="96">
                  <c:v>0.25</c:v>
                </c:pt>
              </c:numCache>
            </c:numRef>
          </c:cat>
          <c:val>
            <c:numRef>
              <c:f>'Put Sensitivity (consider div)'!$D$16:$D$112</c:f>
              <c:numCache>
                <c:formatCode>General</c:formatCode>
                <c:ptCount val="97"/>
                <c:pt idx="0">
                  <c:v>14.655314315134504</c:v>
                </c:pt>
                <c:pt idx="1">
                  <c:v>15.287237989801909</c:v>
                </c:pt>
                <c:pt idx="2">
                  <c:v>15.415139665576234</c:v>
                </c:pt>
                <c:pt idx="3">
                  <c:v>15.54353865094339</c:v>
                </c:pt>
                <c:pt idx="4">
                  <c:v>15.672431290441672</c:v>
                </c:pt>
                <c:pt idx="5">
                  <c:v>15.801813888495232</c:v>
                </c:pt>
                <c:pt idx="6">
                  <c:v>15.931682710004743</c:v>
                </c:pt>
                <c:pt idx="7">
                  <c:v>16.062033980945188</c:v>
                </c:pt>
                <c:pt idx="8">
                  <c:v>16.192863888970756</c:v>
                </c:pt>
                <c:pt idx="9">
                  <c:v>16.324168584026317</c:v>
                </c:pt>
                <c:pt idx="10">
                  <c:v>16.455944178965701</c:v>
                </c:pt>
                <c:pt idx="11">
                  <c:v>16.588186750176341</c:v>
                </c:pt>
                <c:pt idx="12">
                  <c:v>16.720892338210042</c:v>
                </c:pt>
                <c:pt idx="13">
                  <c:v>16.854056948420038</c:v>
                </c:pt>
                <c:pt idx="14">
                  <c:v>16.987676551603599</c:v>
                </c:pt>
                <c:pt idx="15">
                  <c:v>17.12174708465048</c:v>
                </c:pt>
                <c:pt idx="16">
                  <c:v>17.256264451196742</c:v>
                </c:pt>
                <c:pt idx="17">
                  <c:v>17.391224522283942</c:v>
                </c:pt>
                <c:pt idx="18">
                  <c:v>17.526623137023194</c:v>
                </c:pt>
                <c:pt idx="19">
                  <c:v>17.662456103264184</c:v>
                </c:pt>
                <c:pt idx="20">
                  <c:v>17.798719198269005</c:v>
                </c:pt>
                <c:pt idx="21">
                  <c:v>17.935408169390058</c:v>
                </c:pt>
                <c:pt idx="22">
                  <c:v>18.072518734752641</c:v>
                </c:pt>
                <c:pt idx="23">
                  <c:v>18.210046583941214</c:v>
                </c:pt>
                <c:pt idx="24">
                  <c:v>18.347987378689794</c:v>
                </c:pt>
                <c:pt idx="25">
                  <c:v>18.48633675357577</c:v>
                </c:pt>
                <c:pt idx="26">
                  <c:v>18.625090316717348</c:v>
                </c:pt>
                <c:pt idx="27">
                  <c:v>18.764243650474015</c:v>
                </c:pt>
                <c:pt idx="28">
                  <c:v>18.903792312150173</c:v>
                </c:pt>
                <c:pt idx="29">
                  <c:v>19.043731834701603</c:v>
                </c:pt>
                <c:pt idx="30">
                  <c:v>19.184057727444404</c:v>
                </c:pt>
                <c:pt idx="31">
                  <c:v>19.324765476766387</c:v>
                </c:pt>
                <c:pt idx="32">
                  <c:v>19.465850546840876</c:v>
                </c:pt>
                <c:pt idx="33">
                  <c:v>19.607308380341976</c:v>
                </c:pt>
                <c:pt idx="34">
                  <c:v>19.749134399162315</c:v>
                </c:pt>
                <c:pt idx="35">
                  <c:v>19.891324005131722</c:v>
                </c:pt>
                <c:pt idx="36">
                  <c:v>20.033872580737707</c:v>
                </c:pt>
                <c:pt idx="37">
                  <c:v>20.176775489846882</c:v>
                </c:pt>
                <c:pt idx="38">
                  <c:v>20.320028078427455</c:v>
                </c:pt>
                <c:pt idx="39">
                  <c:v>20.463625675272482</c:v>
                </c:pt>
                <c:pt idx="40">
                  <c:v>20.607563592723508</c:v>
                </c:pt>
                <c:pt idx="41">
                  <c:v>20.751837127394722</c:v>
                </c:pt>
                <c:pt idx="42">
                  <c:v>20.896441560897358</c:v>
                </c:pt>
                <c:pt idx="43">
                  <c:v>21.041372160563682</c:v>
                </c:pt>
                <c:pt idx="44">
                  <c:v>21.186624180171052</c:v>
                </c:pt>
                <c:pt idx="45">
                  <c:v>21.332192860665465</c:v>
                </c:pt>
                <c:pt idx="46">
                  <c:v>21.478073430884415</c:v>
                </c:pt>
                <c:pt idx="47">
                  <c:v>21.624261108278752</c:v>
                </c:pt>
                <c:pt idx="48">
                  <c:v>21.770751099633792</c:v>
                </c:pt>
                <c:pt idx="49">
                  <c:v>21.917538601789076</c:v>
                </c:pt>
                <c:pt idx="50">
                  <c:v>22.064618802356513</c:v>
                </c:pt>
                <c:pt idx="51">
                  <c:v>22.211986880437301</c:v>
                </c:pt>
                <c:pt idx="52">
                  <c:v>22.359638007336606</c:v>
                </c:pt>
                <c:pt idx="53">
                  <c:v>22.507567347276549</c:v>
                </c:pt>
                <c:pt idx="54">
                  <c:v>22.655770058106917</c:v>
                </c:pt>
                <c:pt idx="55">
                  <c:v>22.804241292013515</c:v>
                </c:pt>
                <c:pt idx="56">
                  <c:v>22.952976196223929</c:v>
                </c:pt>
                <c:pt idx="57">
                  <c:v>23.101969913710683</c:v>
                </c:pt>
                <c:pt idx="58">
                  <c:v>23.251217583891261</c:v>
                </c:pt>
                <c:pt idx="59">
                  <c:v>23.400714343325426</c:v>
                </c:pt>
                <c:pt idx="60">
                  <c:v>23.550455326408837</c:v>
                </c:pt>
                <c:pt idx="61">
                  <c:v>23.700435666063633</c:v>
                </c:pt>
                <c:pt idx="62">
                  <c:v>23.850650494425132</c:v>
                </c:pt>
                <c:pt idx="63">
                  <c:v>24.001094943525032</c:v>
                </c:pt>
                <c:pt idx="64">
                  <c:v>24.151764145970326</c:v>
                </c:pt>
                <c:pt idx="65">
                  <c:v>24.302653235618578</c:v>
                </c:pt>
                <c:pt idx="66">
                  <c:v>24.453757348248587</c:v>
                </c:pt>
                <c:pt idx="67">
                  <c:v>24.605071622226816</c:v>
                </c:pt>
                <c:pt idx="68">
                  <c:v>24.756591199169122</c:v>
                </c:pt>
                <c:pt idx="69">
                  <c:v>24.908311224598023</c:v>
                </c:pt>
                <c:pt idx="70">
                  <c:v>25.060226848594887</c:v>
                </c:pt>
                <c:pt idx="71">
                  <c:v>25.212333226447072</c:v>
                </c:pt>
                <c:pt idx="72">
                  <c:v>25.364625519290115</c:v>
                </c:pt>
                <c:pt idx="73">
                  <c:v>25.517098894744464</c:v>
                </c:pt>
                <c:pt idx="74">
                  <c:v>25.669748527546851</c:v>
                </c:pt>
                <c:pt idx="75">
                  <c:v>25.822569600176067</c:v>
                </c:pt>
                <c:pt idx="76">
                  <c:v>25.975557303473039</c:v>
                </c:pt>
                <c:pt idx="77">
                  <c:v>26.128706837255031</c:v>
                </c:pt>
                <c:pt idx="78">
                  <c:v>26.282013410923888</c:v>
                </c:pt>
                <c:pt idx="79">
                  <c:v>26.43547224406835</c:v>
                </c:pt>
                <c:pt idx="80">
                  <c:v>26.589078567059943</c:v>
                </c:pt>
                <c:pt idx="81">
                  <c:v>26.742827621642647</c:v>
                </c:pt>
                <c:pt idx="82">
                  <c:v>26.896714661516029</c:v>
                </c:pt>
                <c:pt idx="83">
                  <c:v>27.050734952912144</c:v>
                </c:pt>
                <c:pt idx="84">
                  <c:v>27.204883775165307</c:v>
                </c:pt>
                <c:pt idx="85">
                  <c:v>27.359156421275372</c:v>
                </c:pt>
                <c:pt idx="86">
                  <c:v>27.513548198464193</c:v>
                </c:pt>
                <c:pt idx="87">
                  <c:v>27.668054428724915</c:v>
                </c:pt>
                <c:pt idx="88">
                  <c:v>27.822670449364324</c:v>
                </c:pt>
                <c:pt idx="89">
                  <c:v>27.977391613538153</c:v>
                </c:pt>
                <c:pt idx="90">
                  <c:v>28.132213290778765</c:v>
                </c:pt>
                <c:pt idx="91">
                  <c:v>28.287130867515913</c:v>
                </c:pt>
                <c:pt idx="92">
                  <c:v>28.442139747589906</c:v>
                </c:pt>
                <c:pt idx="93">
                  <c:v>28.597235352757203</c:v>
                </c:pt>
                <c:pt idx="94">
                  <c:v>28.752413123188532</c:v>
                </c:pt>
                <c:pt idx="95">
                  <c:v>28.907668517959401</c:v>
                </c:pt>
                <c:pt idx="96">
                  <c:v>29.062997015532694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5-3140-A3A4-7724E9DAB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421184"/>
        <c:axId val="198681344"/>
      </c:lineChart>
      <c:catAx>
        <c:axId val="179421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8681344"/>
        <c:crosses val="autoZero"/>
        <c:auto val="1"/>
        <c:lblAlgn val="ctr"/>
        <c:lblOffset val="100"/>
        <c:noMultiLvlLbl val="0"/>
      </c:catAx>
      <c:valAx>
        <c:axId val="198681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4211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>
    <tabColor theme="7" tint="-0.499984740745262"/>
  </sheetPr>
  <sheetViews>
    <sheetView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>
    <tabColor theme="7" tint="-0.499984740745262"/>
  </sheetPr>
  <sheetViews>
    <sheetView zoomScale="10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3">
    <tabColor theme="7" tint="-0.499984740745262"/>
  </sheetPr>
  <sheetViews>
    <sheetView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4">
    <tabColor theme="7" tint="-0.499984740745262"/>
  </sheetPr>
  <sheetViews>
    <sheetView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5">
    <tabColor theme="7" tint="-0.499984740745262"/>
  </sheetPr>
  <sheetViews>
    <sheetView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6">
    <tabColor theme="7" tint="-0.499984740745262"/>
  </sheetPr>
  <sheetViews>
    <sheetView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7">
    <tabColor theme="7" tint="-0.499984740745262"/>
  </sheetPr>
  <sheetViews>
    <sheetView workbookViewId="0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Chart8"/>
  <sheetViews>
    <sheetView workbookViewId="0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Chart10"/>
  <sheetViews>
    <sheetView zoomScale="10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4100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3FA1A-91BF-8F41-9618-465706B5C39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6355" cy="62906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5B1D07-073E-3649-A3D5-E27B8E7DC3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4100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6B2496-7822-1040-A071-C455DFE3EDB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6355" cy="627878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2BFADE-E4DB-2244-8CC3-FB3EF20286B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6355" cy="627878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EA5C2A-FCC2-9F47-AFF8-2D9A984C154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76355" cy="627878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182A3B-2CBC-B74C-BD8F-DE5B44408E5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76355" cy="627878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A93827-2451-7842-9E6B-379CD766266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76355" cy="62906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C157BE-584C-7741-B69E-336EB9AB4D8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76355" cy="62906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DDF5D5-7F80-094E-B412-8300C7BB32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16</xdr:col>
      <xdr:colOff>8618</xdr:colOff>
      <xdr:row>36</xdr:row>
      <xdr:rowOff>180419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E391ADD-0D9B-9C46-8525-53C46F605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286" y="399143"/>
          <a:ext cx="10058400" cy="6965847"/>
        </a:xfrm>
        <a:prstGeom prst="rect">
          <a:avLst/>
        </a:prstGeom>
        <a:solidFill>
          <a:srgbClr val="FFFFFF">
            <a:shade val="85000"/>
          </a:srgbClr>
        </a:solidFill>
        <a:ln w="6350" cap="sq">
          <a:solidFill>
            <a:sysClr val="windowText" lastClr="000000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15</xdr:col>
      <xdr:colOff>635000</xdr:colOff>
      <xdr:row>61</xdr:row>
      <xdr:rowOff>182634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2881AB6-3B94-0E4A-ADD7-231955050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100" y="7239000"/>
          <a:ext cx="10058400" cy="456413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222249</xdr:colOff>
      <xdr:row>0</xdr:row>
      <xdr:rowOff>146242</xdr:rowOff>
    </xdr:from>
    <xdr:to>
      <xdr:col>15</xdr:col>
      <xdr:colOff>494393</xdr:colOff>
      <xdr:row>31</xdr:row>
      <xdr:rowOff>86892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1885" y="146242"/>
          <a:ext cx="9647053" cy="602510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15</xdr:col>
      <xdr:colOff>635000</xdr:colOff>
      <xdr:row>63</xdr:row>
      <xdr:rowOff>36214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538C78-660C-1143-9259-DFC45EA49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100" y="6096000"/>
          <a:ext cx="10058400" cy="5941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AA24"/>
  <sheetViews>
    <sheetView tabSelected="1" zoomScale="80" zoomScaleNormal="80" workbookViewId="0">
      <selection activeCell="B5" sqref="B5"/>
    </sheetView>
  </sheetViews>
  <sheetFormatPr baseColWidth="10" defaultColWidth="10.83203125" defaultRowHeight="19" x14ac:dyDescent="0.25"/>
  <cols>
    <col min="1" max="1" width="4.83203125" style="1" customWidth="1"/>
    <col min="2" max="2" width="10.6640625" style="1" bestFit="1" customWidth="1"/>
    <col min="3" max="3" width="32.33203125" style="1" bestFit="1" customWidth="1"/>
    <col min="4" max="4" width="10.33203125" style="1" customWidth="1"/>
    <col min="5" max="5" width="10.5" style="1" customWidth="1"/>
    <col min="6" max="8" width="10.83203125" style="1"/>
    <col min="9" max="9" width="13.5" style="1" bestFit="1" customWidth="1"/>
    <col min="10" max="16384" width="10.83203125" style="1"/>
  </cols>
  <sheetData>
    <row r="2" spans="2:27" ht="55" customHeight="1" x14ac:dyDescent="0.25">
      <c r="B2" s="31" t="s">
        <v>91</v>
      </c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3"/>
    </row>
    <row r="3" spans="2:27" ht="55" customHeight="1" x14ac:dyDescent="0.25">
      <c r="B3" s="34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6"/>
    </row>
    <row r="5" spans="2:27" x14ac:dyDescent="0.25">
      <c r="B5" s="4" t="s">
        <v>46</v>
      </c>
      <c r="C5" s="4" t="s">
        <v>47</v>
      </c>
      <c r="D5" s="8" t="s">
        <v>48</v>
      </c>
      <c r="E5" s="8" t="s">
        <v>49</v>
      </c>
      <c r="F5" s="8" t="s">
        <v>50</v>
      </c>
      <c r="G5" s="8" t="s">
        <v>51</v>
      </c>
      <c r="H5" s="8" t="s">
        <v>52</v>
      </c>
      <c r="I5" s="8" t="s">
        <v>53</v>
      </c>
      <c r="J5" s="8" t="s">
        <v>54</v>
      </c>
      <c r="K5" s="8" t="s">
        <v>55</v>
      </c>
      <c r="L5" s="8" t="s">
        <v>57</v>
      </c>
      <c r="M5" s="8" t="s">
        <v>58</v>
      </c>
      <c r="N5" s="8" t="s">
        <v>59</v>
      </c>
      <c r="O5" s="8" t="s">
        <v>60</v>
      </c>
      <c r="P5" s="8" t="s">
        <v>61</v>
      </c>
      <c r="Q5" s="8" t="s">
        <v>62</v>
      </c>
      <c r="R5" s="8" t="s">
        <v>63</v>
      </c>
      <c r="S5" s="8" t="s">
        <v>64</v>
      </c>
      <c r="T5" s="8" t="s">
        <v>65</v>
      </c>
      <c r="U5" s="8" t="s">
        <v>66</v>
      </c>
      <c r="V5" s="8" t="s">
        <v>67</v>
      </c>
      <c r="W5" s="8" t="s">
        <v>68</v>
      </c>
      <c r="X5" s="4"/>
      <c r="Y5" s="4"/>
      <c r="Z5" s="4"/>
      <c r="AA5" s="4"/>
    </row>
    <row r="6" spans="2:27" x14ac:dyDescent="0.25">
      <c r="B6" s="2" t="s">
        <v>37</v>
      </c>
      <c r="C6" s="1" t="s">
        <v>0</v>
      </c>
      <c r="D6" s="1">
        <v>100</v>
      </c>
      <c r="E6" s="1">
        <v>100</v>
      </c>
      <c r="F6" s="1">
        <v>100</v>
      </c>
      <c r="G6" s="1">
        <v>100</v>
      </c>
      <c r="H6" s="1">
        <v>100</v>
      </c>
      <c r="I6" s="1">
        <v>100</v>
      </c>
      <c r="J6" s="1">
        <v>100</v>
      </c>
      <c r="K6" s="1">
        <v>100</v>
      </c>
      <c r="L6" s="1">
        <v>100</v>
      </c>
      <c r="M6" s="1">
        <v>100</v>
      </c>
      <c r="N6" s="1">
        <v>100</v>
      </c>
      <c r="O6" s="1">
        <v>100</v>
      </c>
      <c r="P6" s="1">
        <v>100</v>
      </c>
      <c r="Q6" s="1">
        <v>100</v>
      </c>
      <c r="R6" s="1">
        <v>100</v>
      </c>
      <c r="S6" s="1">
        <v>100</v>
      </c>
      <c r="T6" s="1">
        <v>100</v>
      </c>
      <c r="U6" s="1">
        <v>100</v>
      </c>
      <c r="V6" s="1">
        <v>100</v>
      </c>
      <c r="W6" s="1">
        <v>100</v>
      </c>
    </row>
    <row r="7" spans="2:27" x14ac:dyDescent="0.25">
      <c r="B7" s="2" t="s">
        <v>38</v>
      </c>
      <c r="C7" s="1" t="s">
        <v>3</v>
      </c>
      <c r="D7" s="1">
        <v>100</v>
      </c>
      <c r="E7" s="1">
        <v>100</v>
      </c>
      <c r="F7" s="1">
        <v>100</v>
      </c>
      <c r="G7" s="1">
        <v>100</v>
      </c>
      <c r="H7" s="1">
        <v>100</v>
      </c>
      <c r="I7" s="1">
        <v>110</v>
      </c>
      <c r="J7" s="1">
        <v>90</v>
      </c>
      <c r="K7" s="1">
        <v>90</v>
      </c>
      <c r="L7" s="1">
        <v>90</v>
      </c>
      <c r="M7" s="1">
        <v>90</v>
      </c>
      <c r="N7" s="1">
        <v>120</v>
      </c>
      <c r="O7" s="1">
        <v>120</v>
      </c>
      <c r="P7" s="1">
        <v>120</v>
      </c>
      <c r="Q7" s="1">
        <v>120</v>
      </c>
      <c r="R7" s="1">
        <v>110</v>
      </c>
      <c r="S7" s="1">
        <v>130</v>
      </c>
      <c r="T7" s="1">
        <v>110</v>
      </c>
      <c r="U7" s="1">
        <v>100</v>
      </c>
      <c r="V7" s="1">
        <v>90</v>
      </c>
      <c r="W7" s="1">
        <v>120</v>
      </c>
    </row>
    <row r="8" spans="2:27" x14ac:dyDescent="0.25">
      <c r="B8" s="2" t="s">
        <v>39</v>
      </c>
      <c r="C8" s="1" t="s">
        <v>4</v>
      </c>
      <c r="D8" s="1">
        <v>0.05</v>
      </c>
      <c r="E8" s="1">
        <v>0.05</v>
      </c>
      <c r="F8" s="1">
        <v>0.05</v>
      </c>
      <c r="G8" s="1">
        <v>0.05</v>
      </c>
      <c r="H8" s="1">
        <v>0.05</v>
      </c>
      <c r="I8" s="1">
        <v>0.05</v>
      </c>
      <c r="J8" s="1">
        <v>0.05</v>
      </c>
      <c r="K8" s="1">
        <v>0.05</v>
      </c>
      <c r="L8" s="1">
        <v>0.05</v>
      </c>
      <c r="M8" s="1">
        <v>0.05</v>
      </c>
      <c r="N8" s="1">
        <v>0.05</v>
      </c>
      <c r="O8" s="1">
        <v>0.05</v>
      </c>
      <c r="P8" s="1">
        <v>0.05</v>
      </c>
      <c r="Q8" s="1">
        <v>0.05</v>
      </c>
      <c r="R8" s="1">
        <v>0.05</v>
      </c>
      <c r="S8" s="1">
        <v>0.05</v>
      </c>
      <c r="T8" s="1">
        <v>0.05</v>
      </c>
      <c r="U8" s="1">
        <v>0.05</v>
      </c>
      <c r="V8" s="1">
        <v>0.05</v>
      </c>
      <c r="W8" s="1">
        <v>0.05</v>
      </c>
    </row>
    <row r="9" spans="2:27" x14ac:dyDescent="0.25">
      <c r="B9" s="2" t="s">
        <v>40</v>
      </c>
      <c r="C9" s="1" t="s">
        <v>1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</row>
    <row r="10" spans="2:27" x14ac:dyDescent="0.25">
      <c r="B10" s="2" t="s">
        <v>41</v>
      </c>
      <c r="C10" s="1" t="s">
        <v>5</v>
      </c>
      <c r="D10" s="1">
        <v>0.3</v>
      </c>
      <c r="E10" s="1">
        <v>0.3</v>
      </c>
      <c r="F10" s="1">
        <v>0.3</v>
      </c>
      <c r="G10" s="1">
        <v>0.3</v>
      </c>
      <c r="H10" s="1">
        <v>0.3</v>
      </c>
      <c r="I10" s="1">
        <v>0.3</v>
      </c>
      <c r="J10" s="1">
        <v>0.3</v>
      </c>
      <c r="K10" s="1">
        <v>0.3</v>
      </c>
      <c r="L10" s="1">
        <v>0.3</v>
      </c>
      <c r="M10" s="1">
        <v>0.3</v>
      </c>
      <c r="N10" s="1">
        <v>0.3</v>
      </c>
      <c r="O10" s="1">
        <v>0.3</v>
      </c>
      <c r="P10" s="1">
        <v>0.3</v>
      </c>
      <c r="Q10" s="1">
        <v>0.3</v>
      </c>
      <c r="R10" s="1">
        <v>0.3</v>
      </c>
      <c r="S10" s="1">
        <v>0.3</v>
      </c>
      <c r="T10" s="1">
        <v>0.3</v>
      </c>
      <c r="U10" s="1">
        <v>0.3</v>
      </c>
      <c r="V10" s="1">
        <v>0.3</v>
      </c>
      <c r="W10" s="1">
        <v>0.3</v>
      </c>
    </row>
    <row r="11" spans="2:27" x14ac:dyDescent="0.25">
      <c r="B11" s="2" t="s">
        <v>42</v>
      </c>
      <c r="C11" s="1" t="s">
        <v>2</v>
      </c>
      <c r="D11" s="1">
        <v>1</v>
      </c>
      <c r="E11" s="1">
        <v>1</v>
      </c>
      <c r="F11" s="1">
        <v>1</v>
      </c>
      <c r="G11" s="1">
        <v>1</v>
      </c>
      <c r="H11" s="1">
        <v>1</v>
      </c>
      <c r="I11" s="1">
        <v>1</v>
      </c>
      <c r="J11" s="1">
        <v>1</v>
      </c>
      <c r="K11" s="1">
        <v>1</v>
      </c>
      <c r="L11" s="1">
        <v>1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  <c r="W11" s="1">
        <v>1</v>
      </c>
    </row>
    <row r="12" spans="2:27" x14ac:dyDescent="0.25">
      <c r="B12" s="2"/>
    </row>
    <row r="13" spans="2:27" x14ac:dyDescent="0.25">
      <c r="B13" s="2" t="s">
        <v>43</v>
      </c>
      <c r="C13" s="1" t="s">
        <v>13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</row>
    <row r="14" spans="2:27" x14ac:dyDescent="0.25">
      <c r="B14" s="2" t="s">
        <v>44</v>
      </c>
      <c r="C14" s="1" t="s">
        <v>45</v>
      </c>
      <c r="D14" s="1">
        <v>100</v>
      </c>
      <c r="E14" s="1">
        <v>110</v>
      </c>
      <c r="F14" s="1">
        <v>90</v>
      </c>
      <c r="G14" s="1">
        <v>110</v>
      </c>
      <c r="H14" s="1">
        <v>90</v>
      </c>
      <c r="I14" s="1">
        <v>100</v>
      </c>
      <c r="J14" s="1">
        <v>100</v>
      </c>
      <c r="K14" s="1">
        <v>110</v>
      </c>
      <c r="L14" s="6">
        <v>90</v>
      </c>
      <c r="M14" s="1">
        <v>100</v>
      </c>
      <c r="N14" s="1">
        <v>130</v>
      </c>
      <c r="O14" s="1">
        <v>110</v>
      </c>
      <c r="P14" s="1">
        <v>100</v>
      </c>
      <c r="Q14" s="1">
        <v>90</v>
      </c>
      <c r="R14" s="1">
        <v>110</v>
      </c>
      <c r="S14" s="1">
        <v>120</v>
      </c>
      <c r="T14" s="1">
        <v>120</v>
      </c>
      <c r="U14" s="1">
        <v>120</v>
      </c>
      <c r="V14" s="1">
        <v>120</v>
      </c>
      <c r="W14" s="1">
        <v>120</v>
      </c>
    </row>
    <row r="16" spans="2:27" x14ac:dyDescent="0.25">
      <c r="B16" s="37" t="s">
        <v>56</v>
      </c>
      <c r="C16" s="3" t="s">
        <v>75</v>
      </c>
      <c r="D16" s="1">
        <f>lookbackOptionCon(D6,D7,D8,D9,D10,D11,D13,D14)</f>
        <v>16.264897825495659</v>
      </c>
      <c r="E16" s="1">
        <f>lookbackOptionCon(D6,D7,D8,D9,D10,D11,D13,D14,"call")</f>
        <v>16.264897825495659</v>
      </c>
      <c r="F16" s="1">
        <f t="shared" ref="F16:J16" si="0">lookbackOptionCon(F6,F7,F8,F9,F10,F11,F13,F14)</f>
        <v>16.264897825495659</v>
      </c>
      <c r="G16" s="1">
        <f>lookbackOptionCon(F6,F7,F8,F9,F10,F11,F13,F14,"call")</f>
        <v>16.264897825495659</v>
      </c>
      <c r="H16" s="1">
        <f t="shared" si="0"/>
        <v>16.264897825495659</v>
      </c>
      <c r="I16" s="1">
        <f>lookbackOptionCon(H6,H7,H8,H9,H10,H11,H13,H14,"call")</f>
        <v>16.264897825495659</v>
      </c>
      <c r="J16" s="1">
        <f t="shared" si="0"/>
        <v>17.814512660010188</v>
      </c>
      <c r="K16" s="1">
        <f>lookbackOptionCon(J6,J7,J8,J9,J10,J11,J13,J14,"call")</f>
        <v>17.814512660010188</v>
      </c>
      <c r="L16" s="1">
        <f>lookbackOptionCon(L6,L7,L8,L9,L10,L11,L13,L14)</f>
        <v>23.687489931394371</v>
      </c>
      <c r="M16" s="1">
        <f>lookbackOptionCon(L6,L7,L8,L9,L10,L11,L13,L14,"call")</f>
        <v>23.687489931394371</v>
      </c>
      <c r="N16" s="1">
        <f t="shared" ref="N16:S16" si="1">lookbackOptionCon(N6,N7,N8,N9,N10,N11,N13,N14)</f>
        <v>5.3645653198390493</v>
      </c>
      <c r="O16" s="1">
        <f>lookbackOptionCon(N6,N7,N8,N9,N10,N11,N13,N14,"call")</f>
        <v>5.3645653198390493</v>
      </c>
      <c r="P16" s="1">
        <f t="shared" si="1"/>
        <v>7.3372872422084647</v>
      </c>
      <c r="Q16" s="1">
        <f>lookbackOptionCon(P6,P7,P8,P9,P10,P11,P13,P14,"call")</f>
        <v>7.3372872422084647</v>
      </c>
      <c r="R16" s="1">
        <f>lookbackOptionCon(Q6,Q7,Q8,Q9,Q10,Q11,Q13,Q14,"call")</f>
        <v>7.3372872422084647</v>
      </c>
      <c r="S16" s="1">
        <f t="shared" si="1"/>
        <v>4.8532305688721555</v>
      </c>
      <c r="T16" s="1">
        <f t="shared" ref="T16:W16" si="2">lookbackOptionCon(T6,T7,T8,T9,T10,T11,T13,T14)</f>
        <v>8.0917022284810045</v>
      </c>
      <c r="U16" s="1">
        <f t="shared" si="2"/>
        <v>8.8461172147535443</v>
      </c>
      <c r="V16" s="1">
        <f t="shared" si="2"/>
        <v>9.6005322010260841</v>
      </c>
      <c r="W16" s="1">
        <f t="shared" si="2"/>
        <v>7.3372872422084647</v>
      </c>
    </row>
    <row r="17" spans="2:23" x14ac:dyDescent="0.25">
      <c r="B17" s="37"/>
      <c r="C17" s="5" t="s">
        <v>76</v>
      </c>
      <c r="D17" s="1">
        <f>lookbackOptionCon(D6,D7,D8,D9,D10,D11,D13,D14,"put")</f>
        <v>10.601441567288591</v>
      </c>
      <c r="E17" s="1">
        <f>lookbackOptionCon(E6,E7,E8,E9,E10,E11,E13,E14,"put")</f>
        <v>10.601441567288591</v>
      </c>
      <c r="F17" s="1">
        <f>lookbackOptionCon(F6,F7,F8,F9,F10,F11,F13,F14,"put")</f>
        <v>6.3461789564142128</v>
      </c>
      <c r="G17" s="1">
        <f t="shared" ref="G17:K17" si="3">lookbackOptionCon(G6,G7,G8,G9,G10,G11,G13,G14,"put")</f>
        <v>10.601441567288591</v>
      </c>
      <c r="H17" s="1">
        <f t="shared" si="3"/>
        <v>6.3461789564142128</v>
      </c>
      <c r="I17" s="1">
        <f t="shared" si="3"/>
        <v>11.663350646810258</v>
      </c>
      <c r="J17" s="1">
        <f t="shared" si="3"/>
        <v>5.7451025767659338</v>
      </c>
      <c r="K17" s="1">
        <f t="shared" si="3"/>
        <v>5.7451025767659338</v>
      </c>
      <c r="L17" s="1">
        <f>lookbackOptionCon(L6,L7,L8,L9,L10,L11,L13,L14,"put")</f>
        <v>5.7451025767659338</v>
      </c>
      <c r="M17" s="1">
        <f>lookbackOptionCon(M6,M7,M8,M9,M10,M11,M13,M14,"put")</f>
        <v>5.7451025767659338</v>
      </c>
      <c r="N17" s="1">
        <f>lookbackOptionCon(N6,N7,N8,N9,N10,N11,N13,N14,"put")</f>
        <v>26.942419282663501</v>
      </c>
      <c r="O17" s="1">
        <f t="shared" ref="O17:S17" si="4">lookbackOptionCon(O6,O7,O8,O9,O10,O11,O13,O14,"put")</f>
        <v>19.251096652986586</v>
      </c>
      <c r="P17" s="1">
        <f t="shared" si="4"/>
        <v>12.725259726331926</v>
      </c>
      <c r="Q17" s="1">
        <f t="shared" si="4"/>
        <v>7.5483317157107708</v>
      </c>
      <c r="R17" s="1">
        <f t="shared" si="4"/>
        <v>17.582987673136937</v>
      </c>
      <c r="S17" s="1">
        <f t="shared" si="4"/>
        <v>29.34518498487936</v>
      </c>
      <c r="T17" s="1">
        <f t="shared" ref="T17:W17" si="5">lookbackOptionCon(T6,T7,T8,T9,T10,T11,T13,T14,"put")</f>
        <v>17.582987673136937</v>
      </c>
      <c r="U17" s="1">
        <f t="shared" si="5"/>
        <v>10.601441567288591</v>
      </c>
      <c r="V17" s="1">
        <f t="shared" si="5"/>
        <v>5.7451025767659338</v>
      </c>
      <c r="W17" s="1">
        <f t="shared" si="5"/>
        <v>26.942419282663501</v>
      </c>
    </row>
    <row r="19" spans="2:23" x14ac:dyDescent="0.25">
      <c r="L19" s="9" t="s">
        <v>69</v>
      </c>
    </row>
    <row r="20" spans="2:23" x14ac:dyDescent="0.25">
      <c r="D20" s="7"/>
      <c r="E20" s="7"/>
      <c r="F20" s="7"/>
      <c r="L20" s="9" t="s">
        <v>70</v>
      </c>
    </row>
    <row r="21" spans="2:23" x14ac:dyDescent="0.25">
      <c r="L21" s="9" t="s">
        <v>71</v>
      </c>
    </row>
    <row r="22" spans="2:23" x14ac:dyDescent="0.25">
      <c r="L22" s="9" t="s">
        <v>72</v>
      </c>
    </row>
    <row r="23" spans="2:23" x14ac:dyDescent="0.25">
      <c r="L23" s="9" t="s">
        <v>73</v>
      </c>
    </row>
    <row r="24" spans="2:23" x14ac:dyDescent="0.25">
      <c r="L24" s="9" t="s">
        <v>74</v>
      </c>
    </row>
  </sheetData>
  <mergeCells count="2">
    <mergeCell ref="B2:N3"/>
    <mergeCell ref="B16:B17"/>
  </mergeCells>
  <pageMargins left="0.7" right="0.7" top="0.75" bottom="0.75" header="0.3" footer="0.3"/>
  <pageSetup orientation="portrait" horizontalDpi="0" verticalDpi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X175"/>
  <sheetViews>
    <sheetView zoomScale="80" zoomScaleNormal="80" workbookViewId="0">
      <selection activeCell="B18" sqref="B18"/>
    </sheetView>
  </sheetViews>
  <sheetFormatPr baseColWidth="10" defaultColWidth="8.83203125" defaultRowHeight="16" x14ac:dyDescent="0.2"/>
  <cols>
    <col min="1" max="1" width="8.83203125" style="25"/>
    <col min="2" max="2" width="16.33203125" style="25" customWidth="1"/>
    <col min="3" max="3" width="12.1640625" style="25" bestFit="1" customWidth="1"/>
    <col min="4" max="4" width="14.6640625" style="25" bestFit="1" customWidth="1"/>
    <col min="5" max="5" width="8.83203125" style="25"/>
    <col min="6" max="6" width="12.5" style="25" bestFit="1" customWidth="1"/>
    <col min="7" max="7" width="18.33203125" style="25" bestFit="1" customWidth="1"/>
    <col min="8" max="13" width="8.83203125" style="25"/>
    <col min="14" max="14" width="12.1640625" style="25" bestFit="1" customWidth="1"/>
    <col min="15" max="16" width="14.6640625" style="25" bestFit="1" customWidth="1"/>
    <col min="17" max="17" width="8.83203125" style="25"/>
    <col min="18" max="18" width="9.33203125" style="25" bestFit="1" customWidth="1"/>
    <col min="19" max="20" width="14.6640625" style="25" bestFit="1" customWidth="1"/>
    <col min="21" max="22" width="8.83203125" style="25"/>
    <col min="23" max="23" width="12.5" style="25" bestFit="1" customWidth="1"/>
    <col min="24" max="24" width="14.6640625" style="25" bestFit="1" customWidth="1"/>
    <col min="25" max="25" width="8.5" style="25" bestFit="1" customWidth="1"/>
    <col min="26" max="26" width="13.5" style="25" bestFit="1" customWidth="1"/>
    <col min="27" max="28" width="8.6640625" style="25" customWidth="1"/>
    <col min="29" max="48" width="8.83203125" style="25"/>
    <col min="49" max="49" width="14.6640625" style="25" bestFit="1" customWidth="1"/>
    <col min="50" max="50" width="8.5" style="25" bestFit="1" customWidth="1"/>
    <col min="51" max="16384" width="8.83203125" style="25"/>
  </cols>
  <sheetData>
    <row r="1" spans="2:50" s="24" customFormat="1" ht="21" x14ac:dyDescent="0.25">
      <c r="B1" s="24" t="s">
        <v>100</v>
      </c>
    </row>
    <row r="2" spans="2:50" s="22" customFormat="1" x14ac:dyDescent="0.2"/>
    <row r="3" spans="2:50" s="22" customFormat="1" ht="19" x14ac:dyDescent="0.25">
      <c r="B3" s="1" t="s">
        <v>0</v>
      </c>
      <c r="C3" s="1" t="s">
        <v>37</v>
      </c>
      <c r="D3" s="1">
        <v>110</v>
      </c>
    </row>
    <row r="4" spans="2:50" s="22" customFormat="1" ht="19" x14ac:dyDescent="0.25">
      <c r="B4" s="1" t="s">
        <v>92</v>
      </c>
      <c r="C4" s="1" t="s">
        <v>38</v>
      </c>
      <c r="D4" s="1">
        <v>100</v>
      </c>
    </row>
    <row r="5" spans="2:50" s="22" customFormat="1" ht="19" x14ac:dyDescent="0.25">
      <c r="B5" s="1" t="s">
        <v>93</v>
      </c>
      <c r="C5" s="1" t="s">
        <v>39</v>
      </c>
      <c r="D5" s="1">
        <v>0.05</v>
      </c>
    </row>
    <row r="6" spans="2:50" s="22" customFormat="1" ht="19" x14ac:dyDescent="0.25">
      <c r="B6" s="1" t="s">
        <v>94</v>
      </c>
      <c r="C6" s="1" t="s">
        <v>40</v>
      </c>
      <c r="D6" s="1">
        <v>0</v>
      </c>
    </row>
    <row r="7" spans="2:50" s="22" customFormat="1" ht="19" x14ac:dyDescent="0.25">
      <c r="B7" s="1" t="s">
        <v>5</v>
      </c>
      <c r="C7" s="1" t="s">
        <v>79</v>
      </c>
      <c r="D7" s="1">
        <v>0.3</v>
      </c>
    </row>
    <row r="8" spans="2:50" s="22" customFormat="1" ht="19" x14ac:dyDescent="0.25">
      <c r="B8" s="1" t="s">
        <v>95</v>
      </c>
      <c r="C8" s="1" t="s">
        <v>42</v>
      </c>
      <c r="D8" s="1">
        <v>1</v>
      </c>
    </row>
    <row r="9" spans="2:50" s="22" customFormat="1" ht="19" x14ac:dyDescent="0.25">
      <c r="B9" s="1"/>
      <c r="C9" s="1"/>
      <c r="D9" s="1"/>
    </row>
    <row r="10" spans="2:50" s="22" customFormat="1" ht="19" x14ac:dyDescent="0.25">
      <c r="B10" s="1" t="s">
        <v>96</v>
      </c>
      <c r="C10" s="7" t="s">
        <v>43</v>
      </c>
      <c r="D10" s="1">
        <v>0.1</v>
      </c>
      <c r="I10" s="25"/>
    </row>
    <row r="11" spans="2:50" s="22" customFormat="1" ht="19" x14ac:dyDescent="0.25">
      <c r="B11" s="1" t="s">
        <v>97</v>
      </c>
      <c r="C11" s="1" t="s">
        <v>44</v>
      </c>
      <c r="D11" s="1">
        <v>120</v>
      </c>
    </row>
    <row r="12" spans="2:50" s="22" customFormat="1" ht="19" x14ac:dyDescent="0.25">
      <c r="B12" s="1"/>
      <c r="C12" s="1"/>
      <c r="D12" s="1"/>
    </row>
    <row r="13" spans="2:50" s="1" customFormat="1" ht="19" x14ac:dyDescent="0.25">
      <c r="B13" s="1" t="s">
        <v>77</v>
      </c>
      <c r="D13" s="1">
        <f>lookbackOptionCon($D$3,$D$4,$D$5,$D$6,$D$7,$D$8,$D$10,$D$11)</f>
        <v>13.536782505642542</v>
      </c>
      <c r="F13" s="1">
        <f>BS_call($D$3,$D$4,$D$5,$D$7,$D$6,$D$8)</f>
        <v>21.061031192609683</v>
      </c>
      <c r="G13" s="1" t="s">
        <v>98</v>
      </c>
    </row>
    <row r="14" spans="2:50" s="1" customFormat="1" ht="19" x14ac:dyDescent="0.25">
      <c r="B14" s="1" t="s">
        <v>78</v>
      </c>
      <c r="D14" s="1">
        <f>lookbackOptionCon($D$3,$D$4,$D$5,$D$6,$D$7,$D$8,$D$10,$D$11,"put")</f>
        <v>6.2747256932051583</v>
      </c>
      <c r="F14" s="1">
        <f>BS_put(D3,D4,D5,D7,D6,D8)</f>
        <v>6.1839736426810781</v>
      </c>
      <c r="G14" s="1" t="s">
        <v>99</v>
      </c>
    </row>
    <row r="15" spans="2:50" s="22" customFormat="1" x14ac:dyDescent="0.2"/>
    <row r="16" spans="2:50" s="23" customFormat="1" ht="21" x14ac:dyDescent="0.25">
      <c r="B16" s="38" t="s">
        <v>105</v>
      </c>
      <c r="C16" s="38"/>
      <c r="D16" s="38"/>
      <c r="W16" s="26"/>
      <c r="X16" s="26"/>
      <c r="Y16" s="26"/>
      <c r="AV16" s="26"/>
      <c r="AW16" s="26"/>
      <c r="AX16" s="26"/>
    </row>
    <row r="18" spans="2:28" s="27" customFormat="1" x14ac:dyDescent="0.2">
      <c r="B18" s="27" t="s">
        <v>101</v>
      </c>
      <c r="C18" s="27" t="s">
        <v>103</v>
      </c>
      <c r="D18" s="27" t="s">
        <v>102</v>
      </c>
      <c r="F18" s="27" t="s">
        <v>104</v>
      </c>
      <c r="G18" s="27" t="s">
        <v>103</v>
      </c>
      <c r="H18" s="27" t="s">
        <v>102</v>
      </c>
      <c r="J18" s="27" t="s">
        <v>5</v>
      </c>
      <c r="K18" s="27" t="s">
        <v>103</v>
      </c>
      <c r="L18" s="27" t="s">
        <v>102</v>
      </c>
      <c r="N18" s="27" t="s">
        <v>96</v>
      </c>
      <c r="O18" s="27" t="s">
        <v>103</v>
      </c>
      <c r="P18" s="27" t="s">
        <v>102</v>
      </c>
      <c r="R18" s="28" t="s">
        <v>0</v>
      </c>
      <c r="S18" s="27" t="s">
        <v>103</v>
      </c>
      <c r="T18" s="27" t="s">
        <v>102</v>
      </c>
      <c r="V18" s="28" t="s">
        <v>92</v>
      </c>
      <c r="W18" s="27" t="s">
        <v>103</v>
      </c>
      <c r="X18" s="27" t="s">
        <v>102</v>
      </c>
      <c r="Z18" s="28" t="s">
        <v>97</v>
      </c>
      <c r="AA18" s="27" t="s">
        <v>103</v>
      </c>
      <c r="AB18" s="27" t="s">
        <v>102</v>
      </c>
    </row>
    <row r="19" spans="2:28" ht="19" x14ac:dyDescent="0.25">
      <c r="B19" s="25">
        <v>0.01</v>
      </c>
      <c r="C19" s="25">
        <f>lookbackOptionCon($D$3,$D$4,$B19,$D$6,$D$7,$D$8,$D$10,$D$11)</f>
        <v>10.743675035266657</v>
      </c>
      <c r="D19" s="25">
        <f>BS_call($D$3,$D$4,$B19,$D$7,$D$6,$D$8)</f>
        <v>18.711279045653235</v>
      </c>
      <c r="F19" s="25">
        <v>0</v>
      </c>
      <c r="G19" s="25">
        <f t="shared" ref="G19:G34" si="0">lookbackOptionCon($D$3,$D$4,$D$5,$F19,$D$7,$D$8,$D$10,$D$11)</f>
        <v>13.536782505642542</v>
      </c>
      <c r="H19" s="25">
        <f t="shared" ref="H19:H50" si="1">BS_call($D$3,$D$4,$D$5,$D$7,$F19,$D$8)</f>
        <v>21.061031192609683</v>
      </c>
      <c r="J19" s="25">
        <v>0.01</v>
      </c>
      <c r="K19" s="25">
        <f t="shared" ref="K19:K50" si="2">lookbackOptionCon($D$3,$D$4,$D$5,$D$6,$J19,$D$8,$D$10,$D$11)</f>
        <v>6.5262055227357192E-5</v>
      </c>
      <c r="L19" s="25">
        <f>BS_call($D$3,$D$4,$D$5,$J19,$D$6,$D$8)</f>
        <v>14.877057549928594</v>
      </c>
      <c r="N19" s="25">
        <v>0</v>
      </c>
      <c r="O19" s="1">
        <f>lookbackOptionCon($D$3,$D$4,$D$5,$D$6,$D$7,$D$8,$N19,$D$11)</f>
        <v>14.793737912224012</v>
      </c>
      <c r="P19" s="1">
        <f>BS_call($D$3,$D$4,$D$5,$D$7,$D$6,$D$8)</f>
        <v>21.061031192609683</v>
      </c>
      <c r="R19" s="25">
        <v>1</v>
      </c>
      <c r="S19" s="1">
        <f>lookbackOptionCon($R19,$D$4,$D$5,$D$6,$D$7,$D$8,$D$10,$D$11)</f>
        <v>5.0393776588683089E-62</v>
      </c>
      <c r="T19" s="1">
        <f>BS_call($R19,$D$4,$D$5,$D$7,$D$6,$D$8)</f>
        <v>4.2708712010561722E-53</v>
      </c>
      <c r="V19" s="25">
        <v>1</v>
      </c>
      <c r="W19" s="1">
        <f>lookbackOptionCon($D$3,$V19,$D$5,$D$6,$D$7,$D$8,$D$10,$D$11)</f>
        <v>23.847553063153402</v>
      </c>
      <c r="X19" s="1">
        <f>BS_call($D$3,$V19,$D$5,$D$7,$D$6,$D$8)</f>
        <v>109.04877057549929</v>
      </c>
      <c r="Z19" s="25">
        <v>1</v>
      </c>
      <c r="AA19" s="1">
        <f>lookbackOptionCon($D$3,$D$4,$D$5,$D$6,$D$7,$D$8,$D$10,$Z19)</f>
        <v>24.001348764765563</v>
      </c>
      <c r="AB19" s="1">
        <f>BS_call($D$3,$D$4,$D$5,$D$7,$D$6,$D$8)</f>
        <v>21.061031192609683</v>
      </c>
    </row>
    <row r="20" spans="2:28" ht="19" x14ac:dyDescent="0.25">
      <c r="B20" s="25">
        <v>1.2500000000000001E-2</v>
      </c>
      <c r="C20" s="25">
        <f t="shared" ref="C20:C83" si="3">lookbackOptionCon($D$3,$D$4,$B20,$D$6,$D$7,$D$8,$D$10,$D$11)</f>
        <v>10.908313469736223</v>
      </c>
      <c r="D20" s="25">
        <f t="shared" ref="D20:D83" si="4">BS_call($D$3,$D$4,$B20,$D$7,$D$6,$D$8)</f>
        <v>18.854976210186173</v>
      </c>
      <c r="F20" s="25">
        <v>1.2500000000000001E-2</v>
      </c>
      <c r="G20" s="25">
        <f t="shared" si="0"/>
        <v>12.485492392860424</v>
      </c>
      <c r="H20" s="25">
        <f t="shared" si="1"/>
        <v>20.06320335877156</v>
      </c>
      <c r="J20" s="25">
        <v>1.4999999999999999E-2</v>
      </c>
      <c r="K20" s="25">
        <f t="shared" si="2"/>
        <v>2.1414133430025087E-2</v>
      </c>
      <c r="L20" s="25">
        <f t="shared" ref="L20:L50" si="5">BS_call($D$3,$D$4,$D$5,$J20,$D$6,$D$8)</f>
        <v>14.877057549928594</v>
      </c>
      <c r="N20" s="25">
        <v>4.4999999999999998E-2</v>
      </c>
      <c r="O20" s="1">
        <f t="shared" ref="O20:O41" si="6">lookbackOptionCon($D$3,$D$4,$D$5,$D$6,$D$7,$D$8,$N20,$D$11)</f>
        <v>14.231782286641662</v>
      </c>
      <c r="P20" s="1">
        <f t="shared" ref="P20:P41" si="7">BS_call($D$3,$D$4,$D$5,$D$7,$D$6,$D$8)</f>
        <v>21.061031192609683</v>
      </c>
      <c r="R20" s="25">
        <v>10</v>
      </c>
      <c r="S20" s="1">
        <f t="shared" ref="S20:S39" si="8">lookbackOptionCon($R20,$D$4,$D$5,$D$6,$D$7,$D$8,$D$10,$D$11)</f>
        <v>1.7568835143128086E-17</v>
      </c>
      <c r="T20" s="1">
        <f t="shared" ref="T20:T39" si="9">BS_call($R20,$D$4,$D$5,$D$7,$D$6,$D$8)</f>
        <v>3.5228026487163217E-14</v>
      </c>
      <c r="V20" s="25">
        <v>10</v>
      </c>
      <c r="W20" s="1">
        <f t="shared" ref="W20:W39" si="10">lookbackOptionCon($D$3,$V20,$D$5,$D$6,$D$7,$D$8,$D$10,$D$11)</f>
        <v>22.91021028519787</v>
      </c>
      <c r="X20" s="1">
        <f t="shared" ref="X20:X39" si="11">BS_call($D$3,$V20,$D$5,$D$7,$D$6,$D$8)</f>
        <v>100.48770575499286</v>
      </c>
      <c r="Z20" s="25">
        <v>10</v>
      </c>
      <c r="AA20" s="1">
        <f t="shared" ref="AA20:AA39" si="12">lookbackOptionCon($D$3,$D$4,$D$5,$D$6,$D$7,$D$8,$D$10,$Z20)</f>
        <v>24.001348764765563</v>
      </c>
      <c r="AB20" s="1">
        <f t="shared" ref="AB20:AB39" si="13">BS_call($D$3,$D$4,$D$5,$D$7,$D$6,$D$8)</f>
        <v>21.061031192609683</v>
      </c>
    </row>
    <row r="21" spans="2:28" ht="19" x14ac:dyDescent="0.25">
      <c r="B21" s="25">
        <v>1.4999999999999999E-2</v>
      </c>
      <c r="C21" s="25">
        <f t="shared" si="3"/>
        <v>11.074236203473047</v>
      </c>
      <c r="D21" s="25">
        <f t="shared" si="4"/>
        <v>18.99911658455963</v>
      </c>
      <c r="F21" s="25">
        <v>1.4999999999999999E-2</v>
      </c>
      <c r="G21" s="25">
        <f t="shared" si="0"/>
        <v>12.281950595883609</v>
      </c>
      <c r="H21" s="25">
        <f t="shared" si="1"/>
        <v>19.867388277291113</v>
      </c>
      <c r="J21" s="25">
        <v>0.02</v>
      </c>
      <c r="K21" s="25">
        <f t="shared" si="2"/>
        <v>0.17961844695371654</v>
      </c>
      <c r="L21" s="25">
        <f t="shared" si="5"/>
        <v>14.877057549928651</v>
      </c>
      <c r="N21" s="25">
        <v>0.09</v>
      </c>
      <c r="O21" s="1">
        <f t="shared" si="6"/>
        <v>13.663846405474972</v>
      </c>
      <c r="P21" s="1">
        <f t="shared" si="7"/>
        <v>21.061031192609683</v>
      </c>
      <c r="R21" s="25">
        <v>20</v>
      </c>
      <c r="S21" s="1">
        <f t="shared" si="8"/>
        <v>1.8462302910975287E-9</v>
      </c>
      <c r="T21" s="1">
        <f t="shared" si="9"/>
        <v>2.348801915687173E-7</v>
      </c>
      <c r="V21" s="25">
        <v>20</v>
      </c>
      <c r="W21" s="1">
        <f t="shared" si="10"/>
        <v>21.868718309691722</v>
      </c>
      <c r="X21" s="1">
        <f t="shared" si="11"/>
        <v>90.975411515425492</v>
      </c>
      <c r="Z21" s="25">
        <v>20</v>
      </c>
      <c r="AA21" s="1">
        <f t="shared" si="12"/>
        <v>24.001348764765563</v>
      </c>
      <c r="AB21" s="1">
        <f t="shared" si="13"/>
        <v>21.061031192609683</v>
      </c>
    </row>
    <row r="22" spans="2:28" ht="19" x14ac:dyDescent="0.25">
      <c r="B22" s="25">
        <v>1.7500000000000002E-2</v>
      </c>
      <c r="C22" s="25">
        <f t="shared" si="3"/>
        <v>11.241451839266755</v>
      </c>
      <c r="D22" s="25">
        <f t="shared" si="4"/>
        <v>19.143695637358341</v>
      </c>
      <c r="F22" s="25">
        <v>1.7500000000000002E-2</v>
      </c>
      <c r="G22" s="25">
        <f t="shared" si="0"/>
        <v>12.080600296582595</v>
      </c>
      <c r="H22" s="25">
        <f t="shared" si="1"/>
        <v>19.672820437191596</v>
      </c>
      <c r="J22" s="25">
        <v>2.5000000000000001E-2</v>
      </c>
      <c r="K22" s="25">
        <f t="shared" si="2"/>
        <v>0.50629786302501512</v>
      </c>
      <c r="L22" s="25">
        <f t="shared" si="5"/>
        <v>14.8770575512128</v>
      </c>
      <c r="N22" s="25">
        <v>0.13500000000000001</v>
      </c>
      <c r="O22" s="1">
        <f t="shared" si="6"/>
        <v>13.089485415491859</v>
      </c>
      <c r="P22" s="1">
        <f t="shared" si="7"/>
        <v>21.061031192609683</v>
      </c>
      <c r="R22" s="25">
        <v>30</v>
      </c>
      <c r="S22" s="1">
        <f t="shared" si="8"/>
        <v>6.8657005242346696E-6</v>
      </c>
      <c r="T22" s="1">
        <f t="shared" si="9"/>
        <v>2.2135278726626278E-4</v>
      </c>
      <c r="V22" s="25">
        <v>30</v>
      </c>
      <c r="W22" s="1">
        <f t="shared" si="10"/>
        <v>20.827226334185575</v>
      </c>
      <c r="X22" s="1">
        <f t="shared" si="11"/>
        <v>81.463128948513486</v>
      </c>
      <c r="Z22" s="25">
        <v>30</v>
      </c>
      <c r="AA22" s="1">
        <f t="shared" si="12"/>
        <v>24.001348764765563</v>
      </c>
      <c r="AB22" s="1">
        <f t="shared" si="13"/>
        <v>21.061031192609683</v>
      </c>
    </row>
    <row r="23" spans="2:28" ht="19" x14ac:dyDescent="0.25">
      <c r="B23" s="25">
        <v>0.02</v>
      </c>
      <c r="C23" s="25">
        <f t="shared" si="3"/>
        <v>11.409968964198905</v>
      </c>
      <c r="D23" s="25">
        <f t="shared" si="4"/>
        <v>19.288708807888682</v>
      </c>
      <c r="F23" s="25">
        <v>0.02</v>
      </c>
      <c r="G23" s="25">
        <f t="shared" si="0"/>
        <v>11.881421413660888</v>
      </c>
      <c r="H23" s="25">
        <f t="shared" si="1"/>
        <v>19.479498496970756</v>
      </c>
      <c r="J23" s="25">
        <v>0.03</v>
      </c>
      <c r="K23" s="25">
        <f t="shared" si="2"/>
        <v>0.91706039247196347</v>
      </c>
      <c r="L23" s="25">
        <f t="shared" si="5"/>
        <v>14.877057924900683</v>
      </c>
      <c r="N23" s="25">
        <v>0.18</v>
      </c>
      <c r="O23" s="1">
        <f t="shared" si="6"/>
        <v>12.508202730441639</v>
      </c>
      <c r="P23" s="1">
        <f t="shared" si="7"/>
        <v>21.061031192609683</v>
      </c>
      <c r="R23" s="25">
        <v>40</v>
      </c>
      <c r="S23" s="1">
        <f t="shared" si="8"/>
        <v>7.5857384052546121E-4</v>
      </c>
      <c r="T23" s="1">
        <f t="shared" si="9"/>
        <v>1.0358634730699257E-2</v>
      </c>
      <c r="V23" s="25">
        <v>40</v>
      </c>
      <c r="W23" s="1">
        <f t="shared" si="10"/>
        <v>19.785734358679427</v>
      </c>
      <c r="X23" s="1">
        <f t="shared" si="11"/>
        <v>71.951785844044196</v>
      </c>
      <c r="Z23" s="25">
        <v>40</v>
      </c>
      <c r="AA23" s="1">
        <f t="shared" si="12"/>
        <v>24.001348764765563</v>
      </c>
      <c r="AB23" s="1">
        <f t="shared" si="13"/>
        <v>21.061031192609683</v>
      </c>
    </row>
    <row r="24" spans="2:28" ht="19" x14ac:dyDescent="0.25">
      <c r="B24" s="25">
        <v>2.2499999999999999E-2</v>
      </c>
      <c r="C24" s="25">
        <f t="shared" si="3"/>
        <v>11.579796146853704</v>
      </c>
      <c r="D24" s="25">
        <f t="shared" si="4"/>
        <v>19.434151506908002</v>
      </c>
      <c r="F24" s="25">
        <v>2.2499999999999999E-2</v>
      </c>
      <c r="G24" s="25">
        <f t="shared" si="0"/>
        <v>11.68439395386704</v>
      </c>
      <c r="H24" s="25">
        <f t="shared" si="1"/>
        <v>19.287421069715229</v>
      </c>
      <c r="J24" s="25">
        <v>3.5000000000000003E-2</v>
      </c>
      <c r="K24" s="25">
        <f t="shared" si="2"/>
        <v>1.3396328098439376</v>
      </c>
      <c r="L24" s="25">
        <f t="shared" si="5"/>
        <v>14.877070468460687</v>
      </c>
      <c r="N24" s="25">
        <v>0.22500000000000001</v>
      </c>
      <c r="O24" s="1">
        <f t="shared" si="6"/>
        <v>11.919441360962129</v>
      </c>
      <c r="P24" s="1">
        <f t="shared" si="7"/>
        <v>21.061031192609683</v>
      </c>
      <c r="R24" s="25">
        <v>50</v>
      </c>
      <c r="S24" s="1">
        <f t="shared" si="8"/>
        <v>1.5586714799771329E-2</v>
      </c>
      <c r="T24" s="1">
        <f t="shared" si="9"/>
        <v>0.11741319681255424</v>
      </c>
      <c r="V24" s="25">
        <v>50</v>
      </c>
      <c r="W24" s="1">
        <f t="shared" si="10"/>
        <v>18.74424238317328</v>
      </c>
      <c r="X24" s="1">
        <f t="shared" si="11"/>
        <v>62.455170722122531</v>
      </c>
      <c r="Z24" s="25">
        <v>50</v>
      </c>
      <c r="AA24" s="1">
        <f t="shared" si="12"/>
        <v>24.001348764765563</v>
      </c>
      <c r="AB24" s="1">
        <f t="shared" si="13"/>
        <v>21.061031192609683</v>
      </c>
    </row>
    <row r="25" spans="2:28" ht="19" x14ac:dyDescent="0.25">
      <c r="B25" s="25">
        <v>2.5000000000000001E-2</v>
      </c>
      <c r="C25" s="25">
        <f t="shared" si="3"/>
        <v>11.750941934503805</v>
      </c>
      <c r="D25" s="25">
        <f t="shared" si="4"/>
        <v>19.580019117357921</v>
      </c>
      <c r="F25" s="25">
        <v>2.5000000000000001E-2</v>
      </c>
      <c r="G25" s="25">
        <f t="shared" si="0"/>
        <v>11.489498014648152</v>
      </c>
      <c r="H25" s="25">
        <f t="shared" si="1"/>
        <v>19.096586722863421</v>
      </c>
      <c r="J25" s="25">
        <v>0.04</v>
      </c>
      <c r="K25" s="25">
        <f t="shared" si="2"/>
        <v>1.7393117743934001</v>
      </c>
      <c r="L25" s="25">
        <f t="shared" si="5"/>
        <v>14.877197521483708</v>
      </c>
      <c r="N25" s="25">
        <v>0.27</v>
      </c>
      <c r="O25" s="1">
        <f t="shared" si="6"/>
        <v>11.322573334755504</v>
      </c>
      <c r="P25" s="1">
        <f t="shared" si="7"/>
        <v>21.061031192609683</v>
      </c>
      <c r="R25" s="25">
        <v>60</v>
      </c>
      <c r="S25" s="1">
        <f t="shared" si="8"/>
        <v>0.12450544480380683</v>
      </c>
      <c r="T25" s="1">
        <f t="shared" si="9"/>
        <v>0.60646384491712535</v>
      </c>
      <c r="V25" s="25">
        <v>60</v>
      </c>
      <c r="W25" s="1">
        <f t="shared" si="10"/>
        <v>17.702750407667132</v>
      </c>
      <c r="X25" s="1">
        <f t="shared" si="11"/>
        <v>53.045641776215568</v>
      </c>
      <c r="Z25" s="25">
        <v>60</v>
      </c>
      <c r="AA25" s="1">
        <f t="shared" si="12"/>
        <v>24.001348764765563</v>
      </c>
      <c r="AB25" s="1">
        <f t="shared" si="13"/>
        <v>21.061031192609683</v>
      </c>
    </row>
    <row r="26" spans="2:28" ht="19" x14ac:dyDescent="0.25">
      <c r="B26" s="25">
        <v>2.75E-2</v>
      </c>
      <c r="C26" s="25">
        <f t="shared" si="3"/>
        <v>11.923414850272584</v>
      </c>
      <c r="D26" s="25">
        <f t="shared" si="4"/>
        <v>19.726306995100643</v>
      </c>
      <c r="F26" s="25">
        <v>2.75E-2</v>
      </c>
      <c r="G26" s="25">
        <f t="shared" si="0"/>
        <v>11.296713786747709</v>
      </c>
      <c r="H26" s="25">
        <f t="shared" si="1"/>
        <v>18.90699397797885</v>
      </c>
      <c r="J26" s="25">
        <v>4.4999999999999998E-2</v>
      </c>
      <c r="K26" s="25">
        <f t="shared" si="2"/>
        <v>2.1049148277849778</v>
      </c>
      <c r="L26" s="25">
        <f t="shared" si="5"/>
        <v>14.877822511182572</v>
      </c>
      <c r="N26" s="25">
        <v>0.315</v>
      </c>
      <c r="O26" s="1">
        <f t="shared" si="6"/>
        <v>10.716886687957782</v>
      </c>
      <c r="P26" s="1">
        <f t="shared" si="7"/>
        <v>21.061031192609683</v>
      </c>
      <c r="R26" s="25">
        <v>70</v>
      </c>
      <c r="S26" s="1">
        <f t="shared" si="8"/>
        <v>0.55553736258544351</v>
      </c>
      <c r="T26" s="1">
        <f t="shared" si="9"/>
        <v>1.9406065472739176</v>
      </c>
      <c r="V26" s="25">
        <v>70</v>
      </c>
      <c r="W26" s="1">
        <f t="shared" si="10"/>
        <v>16.661258432160984</v>
      </c>
      <c r="X26" s="1">
        <f t="shared" si="11"/>
        <v>43.910728280788774</v>
      </c>
      <c r="Z26" s="25">
        <v>70</v>
      </c>
      <c r="AA26" s="1">
        <f t="shared" si="12"/>
        <v>24.001348764765563</v>
      </c>
      <c r="AB26" s="1">
        <f t="shared" si="13"/>
        <v>21.061031192609683</v>
      </c>
    </row>
    <row r="27" spans="2:28" ht="19" x14ac:dyDescent="0.25">
      <c r="B27" s="25">
        <v>0.03</v>
      </c>
      <c r="C27" s="25">
        <f t="shared" si="3"/>
        <v>12.097223390274403</v>
      </c>
      <c r="D27" s="25">
        <f t="shared" si="4"/>
        <v>19.873010469658759</v>
      </c>
      <c r="F27" s="25">
        <v>0.03</v>
      </c>
      <c r="G27" s="25">
        <f t="shared" si="0"/>
        <v>11.106021556746793</v>
      </c>
      <c r="H27" s="25">
        <f t="shared" si="1"/>
        <v>18.718641310533329</v>
      </c>
      <c r="J27" s="25">
        <v>0.05</v>
      </c>
      <c r="K27" s="25">
        <f t="shared" si="2"/>
        <v>2.4361521115681</v>
      </c>
      <c r="L27" s="25">
        <f t="shared" si="5"/>
        <v>14.879768631524215</v>
      </c>
      <c r="N27" s="25">
        <v>0.36</v>
      </c>
      <c r="O27" s="1">
        <f t="shared" si="6"/>
        <v>10.1015693453095</v>
      </c>
      <c r="P27" s="1">
        <f t="shared" si="7"/>
        <v>21.061031192609683</v>
      </c>
      <c r="R27" s="25">
        <v>80</v>
      </c>
      <c r="S27" s="1">
        <f t="shared" si="8"/>
        <v>1.6947769503234231</v>
      </c>
      <c r="T27" s="1">
        <f t="shared" si="9"/>
        <v>4.553219350065298</v>
      </c>
      <c r="V27" s="25">
        <v>80</v>
      </c>
      <c r="W27" s="1">
        <f t="shared" si="10"/>
        <v>15.619766456654835</v>
      </c>
      <c r="X27" s="1">
        <f t="shared" si="11"/>
        <v>35.343568398300107</v>
      </c>
      <c r="Z27" s="25">
        <v>80</v>
      </c>
      <c r="AA27" s="1">
        <f t="shared" si="12"/>
        <v>24.001348764765563</v>
      </c>
      <c r="AB27" s="1">
        <f t="shared" si="13"/>
        <v>21.061031192609683</v>
      </c>
    </row>
    <row r="28" spans="2:28" ht="19" x14ac:dyDescent="0.25">
      <c r="B28" s="25">
        <v>3.2500000000000001E-2</v>
      </c>
      <c r="C28" s="25">
        <f t="shared" si="3"/>
        <v>12.272376020734059</v>
      </c>
      <c r="D28" s="25">
        <f t="shared" si="4"/>
        <v>20.020124844957735</v>
      </c>
      <c r="F28" s="25">
        <v>3.2500000000000001E-2</v>
      </c>
      <c r="G28" s="25">
        <f t="shared" si="0"/>
        <v>10.917401709547498</v>
      </c>
      <c r="H28" s="25">
        <f t="shared" si="1"/>
        <v>18.531527149700501</v>
      </c>
      <c r="J28" s="25">
        <v>5.5E-2</v>
      </c>
      <c r="K28" s="25">
        <f t="shared" si="2"/>
        <v>2.7368971436092275</v>
      </c>
      <c r="L28" s="25">
        <f t="shared" si="5"/>
        <v>14.884254605774515</v>
      </c>
      <c r="N28" s="25">
        <v>0.40500000000000003</v>
      </c>
      <c r="O28" s="1">
        <f t="shared" si="6"/>
        <v>9.4756889900992718</v>
      </c>
      <c r="P28" s="1">
        <f t="shared" si="7"/>
        <v>21.061031192609683</v>
      </c>
      <c r="R28" s="25">
        <v>90</v>
      </c>
      <c r="S28" s="1">
        <f t="shared" si="8"/>
        <v>3.9937015869739483</v>
      </c>
      <c r="T28" s="1">
        <f t="shared" si="9"/>
        <v>8.6610551898556665</v>
      </c>
      <c r="V28" s="25">
        <v>90</v>
      </c>
      <c r="W28" s="1">
        <f t="shared" si="10"/>
        <v>14.578274481148688</v>
      </c>
      <c r="X28" s="1">
        <f t="shared" si="11"/>
        <v>27.6527756347962</v>
      </c>
      <c r="Z28" s="25">
        <v>90</v>
      </c>
      <c r="AA28" s="1">
        <f t="shared" si="12"/>
        <v>24.001348764765563</v>
      </c>
      <c r="AB28" s="1">
        <f t="shared" si="13"/>
        <v>21.061031192609683</v>
      </c>
    </row>
    <row r="29" spans="2:28" ht="19" x14ac:dyDescent="0.25">
      <c r="B29" s="25">
        <v>3.5000000000000003E-2</v>
      </c>
      <c r="C29" s="25">
        <f t="shared" si="3"/>
        <v>12.448881175087189</v>
      </c>
      <c r="D29" s="25">
        <f t="shared" si="4"/>
        <v>20.167645400071393</v>
      </c>
      <c r="F29" s="25">
        <v>3.5000000000000003E-2</v>
      </c>
      <c r="G29" s="25">
        <f t="shared" si="0"/>
        <v>10.730834730797978</v>
      </c>
      <c r="H29" s="25">
        <f t="shared" si="1"/>
        <v>18.345649878159733</v>
      </c>
      <c r="J29" s="25">
        <v>0.06</v>
      </c>
      <c r="K29" s="25">
        <f t="shared" si="2"/>
        <v>3.0121283215390031</v>
      </c>
      <c r="L29" s="25">
        <f t="shared" si="5"/>
        <v>14.892681987512759</v>
      </c>
      <c r="N29" s="25">
        <v>0.45</v>
      </c>
      <c r="O29" s="1">
        <f t="shared" si="6"/>
        <v>8.8381677432140897</v>
      </c>
      <c r="P29" s="1">
        <f t="shared" si="7"/>
        <v>21.061031192609683</v>
      </c>
      <c r="R29" s="25">
        <v>100</v>
      </c>
      <c r="S29" s="1">
        <f t="shared" si="8"/>
        <v>7.8514396880984201</v>
      </c>
      <c r="T29" s="1">
        <f t="shared" si="9"/>
        <v>14.231254785985819</v>
      </c>
      <c r="V29" s="25">
        <v>100</v>
      </c>
      <c r="W29" s="1">
        <f t="shared" si="10"/>
        <v>13.536782505642542</v>
      </c>
      <c r="X29" s="1">
        <f t="shared" si="11"/>
        <v>21.061031192609683</v>
      </c>
      <c r="Z29" s="25">
        <v>100</v>
      </c>
      <c r="AA29" s="1">
        <f t="shared" si="12"/>
        <v>24.001348764765563</v>
      </c>
      <c r="AB29" s="1">
        <f t="shared" si="13"/>
        <v>21.061031192609683</v>
      </c>
    </row>
    <row r="30" spans="2:28" ht="19" x14ac:dyDescent="0.25">
      <c r="B30" s="25">
        <v>3.7499999999999999E-2</v>
      </c>
      <c r="C30" s="25">
        <f t="shared" si="3"/>
        <v>12.626747251063303</v>
      </c>
      <c r="D30" s="25">
        <f t="shared" si="4"/>
        <v>20.315567389969736</v>
      </c>
      <c r="F30" s="25">
        <v>3.7499999999999999E-2</v>
      </c>
      <c r="G30" s="25">
        <f t="shared" si="0"/>
        <v>10.546301209258383</v>
      </c>
      <c r="H30" s="25">
        <f t="shared" si="1"/>
        <v>18.161007831910219</v>
      </c>
      <c r="J30" s="25">
        <v>6.5000000000000002E-2</v>
      </c>
      <c r="K30" s="25">
        <f t="shared" si="2"/>
        <v>3.2666749403126176</v>
      </c>
      <c r="L30" s="25">
        <f t="shared" si="5"/>
        <v>14.906398026397653</v>
      </c>
      <c r="N30" s="25">
        <v>0.495</v>
      </c>
      <c r="O30" s="1">
        <f t="shared" si="6"/>
        <v>8.1877501221406259</v>
      </c>
      <c r="P30" s="1">
        <f t="shared" si="7"/>
        <v>21.061031192609683</v>
      </c>
      <c r="R30" s="25">
        <v>110</v>
      </c>
      <c r="S30" s="1">
        <f t="shared" si="8"/>
        <v>13.536782505642542</v>
      </c>
      <c r="T30" s="1">
        <f t="shared" si="9"/>
        <v>21.061031192609683</v>
      </c>
      <c r="V30" s="25">
        <v>110</v>
      </c>
      <c r="W30" s="1">
        <f t="shared" si="10"/>
        <v>12.495290530136394</v>
      </c>
      <c r="X30" s="1">
        <f t="shared" si="11"/>
        <v>15.654380264584404</v>
      </c>
      <c r="Z30" s="25">
        <v>110</v>
      </c>
      <c r="AA30" s="1">
        <f t="shared" si="12"/>
        <v>18.178418178069194</v>
      </c>
      <c r="AB30" s="1">
        <f t="shared" si="13"/>
        <v>21.061031192609683</v>
      </c>
    </row>
    <row r="31" spans="2:28" ht="19" x14ac:dyDescent="0.25">
      <c r="B31" s="25">
        <v>0.04</v>
      </c>
      <c r="C31" s="25">
        <f t="shared" si="3"/>
        <v>12.805982607752378</v>
      </c>
      <c r="D31" s="25">
        <f t="shared" si="4"/>
        <v>20.463886046269224</v>
      </c>
      <c r="F31" s="25">
        <v>0.04</v>
      </c>
      <c r="G31" s="25">
        <f t="shared" si="0"/>
        <v>10.363781839106927</v>
      </c>
      <c r="H31" s="25">
        <f t="shared" si="1"/>
        <v>17.977599300095768</v>
      </c>
      <c r="J31" s="25">
        <v>7.0000000000000007E-2</v>
      </c>
      <c r="K31" s="25">
        <f t="shared" si="2"/>
        <v>3.5047771444166953</v>
      </c>
      <c r="L31" s="25">
        <f t="shared" si="5"/>
        <v>14.926530426715303</v>
      </c>
      <c r="N31" s="25">
        <v>0.54</v>
      </c>
      <c r="O31" s="1">
        <f t="shared" si="6"/>
        <v>7.5229623718330076</v>
      </c>
      <c r="P31" s="1">
        <f t="shared" si="7"/>
        <v>21.061031192609683</v>
      </c>
      <c r="R31" s="25">
        <v>120</v>
      </c>
      <c r="S31" s="1">
        <f t="shared" si="8"/>
        <v>21.159197033613001</v>
      </c>
      <c r="T31" s="1">
        <f t="shared" si="9"/>
        <v>28.88043093211148</v>
      </c>
      <c r="V31" s="25">
        <v>120</v>
      </c>
      <c r="W31" s="1">
        <f t="shared" si="10"/>
        <v>11.453798554630247</v>
      </c>
      <c r="X31" s="1">
        <f t="shared" si="11"/>
        <v>11.390187181129491</v>
      </c>
      <c r="Z31" s="25">
        <v>120</v>
      </c>
      <c r="AA31" s="1">
        <f t="shared" si="12"/>
        <v>13.536782505642542</v>
      </c>
      <c r="AB31" s="1">
        <f t="shared" si="13"/>
        <v>21.061031192609683</v>
      </c>
    </row>
    <row r="32" spans="2:28" ht="19" x14ac:dyDescent="0.25">
      <c r="B32" s="25">
        <v>4.2500000000000003E-2</v>
      </c>
      <c r="C32" s="25">
        <f t="shared" si="3"/>
        <v>12.986595562657378</v>
      </c>
      <c r="D32" s="25">
        <f t="shared" si="4"/>
        <v>20.612596577984931</v>
      </c>
      <c r="F32" s="25">
        <v>4.2500000000000003E-2</v>
      </c>
      <c r="G32" s="25">
        <f t="shared" si="0"/>
        <v>10.183257422185306</v>
      </c>
      <c r="H32" s="25">
        <f t="shared" si="1"/>
        <v>17.795422524840063</v>
      </c>
      <c r="J32" s="25">
        <v>7.4999999999999997E-2</v>
      </c>
      <c r="K32" s="25">
        <f t="shared" si="2"/>
        <v>3.7299925960386022</v>
      </c>
      <c r="L32" s="25">
        <f t="shared" si="5"/>
        <v>14.953913076374448</v>
      </c>
      <c r="N32" s="25">
        <v>0.58499999999999996</v>
      </c>
      <c r="O32" s="1">
        <f>lookbackOptionCon($D$3,$D$4,$D$5,$D$6,$D$7,$D$8,$N32,$D$11)</f>
        <v>6.8420610087373568</v>
      </c>
      <c r="P32" s="1">
        <f t="shared" si="7"/>
        <v>21.061031192609683</v>
      </c>
      <c r="R32" s="25">
        <v>130</v>
      </c>
      <c r="S32" s="1">
        <f t="shared" si="8"/>
        <v>30.678109487971167</v>
      </c>
      <c r="T32" s="1">
        <f t="shared" si="9"/>
        <v>37.426634707381893</v>
      </c>
      <c r="V32" s="25">
        <v>130</v>
      </c>
      <c r="W32" s="1">
        <f t="shared" si="10"/>
        <v>7.7457128078007846</v>
      </c>
      <c r="X32" s="1">
        <f t="shared" si="11"/>
        <v>8.1381633060923804</v>
      </c>
      <c r="Z32" s="25">
        <v>130</v>
      </c>
      <c r="AA32" s="1">
        <f t="shared" si="12"/>
        <v>9.9246873045799777</v>
      </c>
      <c r="AB32" s="1">
        <f t="shared" si="13"/>
        <v>21.061031192609683</v>
      </c>
    </row>
    <row r="33" spans="2:28" ht="19" x14ac:dyDescent="0.25">
      <c r="B33" s="25">
        <v>4.4999999999999998E-2</v>
      </c>
      <c r="C33" s="25">
        <f t="shared" si="3"/>
        <v>13.168594388733565</v>
      </c>
      <c r="D33" s="25">
        <f t="shared" si="4"/>
        <v>20.761694172284813</v>
      </c>
      <c r="F33" s="25">
        <v>4.4999999999999998E-2</v>
      </c>
      <c r="G33" s="25">
        <f t="shared" si="0"/>
        <v>10.004708870182736</v>
      </c>
      <c r="H33" s="25">
        <f t="shared" si="1"/>
        <v>17.614475701092367</v>
      </c>
      <c r="J33" s="25">
        <v>0.08</v>
      </c>
      <c r="K33" s="25">
        <f t="shared" si="2"/>
        <v>3.945239475376594</v>
      </c>
      <c r="L33" s="25">
        <f t="shared" si="5"/>
        <v>14.989080861062291</v>
      </c>
      <c r="N33" s="25">
        <v>0.63</v>
      </c>
      <c r="O33" s="1">
        <f t="shared" si="6"/>
        <v>6.1429688287548476</v>
      </c>
      <c r="P33" s="1">
        <f t="shared" si="7"/>
        <v>21.061031192609683</v>
      </c>
      <c r="R33" s="25">
        <v>140</v>
      </c>
      <c r="S33" s="1">
        <f t="shared" si="8"/>
        <v>41.938119951821683</v>
      </c>
      <c r="T33" s="1">
        <f t="shared" si="9"/>
        <v>46.480579412081511</v>
      </c>
      <c r="V33" s="25">
        <v>140</v>
      </c>
      <c r="W33" s="1">
        <f t="shared" si="10"/>
        <v>5.1828177857270399</v>
      </c>
      <c r="X33" s="1">
        <f t="shared" si="11"/>
        <v>5.7268483581363085</v>
      </c>
      <c r="Z33" s="25">
        <v>140</v>
      </c>
      <c r="AA33" s="1">
        <f t="shared" si="12"/>
        <v>7.1718874566679016</v>
      </c>
      <c r="AB33" s="1">
        <f t="shared" si="13"/>
        <v>21.061031192609683</v>
      </c>
    </row>
    <row r="34" spans="2:28" ht="19" x14ac:dyDescent="0.25">
      <c r="B34" s="25">
        <v>4.7500000000000001E-2</v>
      </c>
      <c r="C34" s="25">
        <f t="shared" si="3"/>
        <v>13.351987311416929</v>
      </c>
      <c r="D34" s="25">
        <f t="shared" si="4"/>
        <v>20.911173995245541</v>
      </c>
      <c r="F34" s="25">
        <v>4.7500000000000001E-2</v>
      </c>
      <c r="G34" s="25">
        <f t="shared" si="0"/>
        <v>9.8281172067586713</v>
      </c>
      <c r="H34" s="25">
        <f t="shared" si="1"/>
        <v>17.434756976484238</v>
      </c>
      <c r="J34" s="25">
        <v>8.5000000000000006E-2</v>
      </c>
      <c r="K34" s="25">
        <f t="shared" si="2"/>
        <v>4.1528839884964315</v>
      </c>
      <c r="L34" s="25">
        <f t="shared" si="5"/>
        <v>15.032303733705533</v>
      </c>
      <c r="N34" s="25">
        <v>0.67500000000000004</v>
      </c>
      <c r="O34" s="1">
        <f t="shared" si="6"/>
        <v>5.423199380689451</v>
      </c>
      <c r="P34" s="1">
        <f t="shared" si="7"/>
        <v>21.061031192609683</v>
      </c>
      <c r="R34" s="25">
        <v>150</v>
      </c>
      <c r="S34" s="1">
        <f t="shared" si="8"/>
        <v>54.715722639049204</v>
      </c>
      <c r="T34" s="1">
        <f t="shared" si="9"/>
        <v>55.876232524679168</v>
      </c>
      <c r="V34" s="25">
        <v>150</v>
      </c>
      <c r="W34" s="1">
        <f t="shared" si="10"/>
        <v>3.4373429444864416</v>
      </c>
      <c r="X34" s="1">
        <f t="shared" si="11"/>
        <v>3.9798875812713099</v>
      </c>
      <c r="Z34" s="25">
        <v>150</v>
      </c>
      <c r="AA34" s="1">
        <f t="shared" si="12"/>
        <v>5.1137681434422664</v>
      </c>
      <c r="AB34" s="1">
        <f t="shared" si="13"/>
        <v>21.061031192609683</v>
      </c>
    </row>
    <row r="35" spans="2:28" ht="19" x14ac:dyDescent="0.25">
      <c r="B35" s="25">
        <v>0.05</v>
      </c>
      <c r="C35" s="25">
        <f t="shared" si="3"/>
        <v>13.536782505642542</v>
      </c>
      <c r="D35" s="25">
        <f t="shared" si="4"/>
        <v>21.061031192609683</v>
      </c>
      <c r="F35" s="25">
        <v>0.05</v>
      </c>
      <c r="H35" s="25">
        <f t="shared" si="1"/>
        <v>17.256264451196735</v>
      </c>
      <c r="J35" s="25">
        <v>0.09</v>
      </c>
      <c r="K35" s="25">
        <f t="shared" si="2"/>
        <v>4.3548340162223944</v>
      </c>
      <c r="L35" s="25">
        <f t="shared" si="5"/>
        <v>15.08363672324856</v>
      </c>
      <c r="N35" s="25">
        <v>0.72</v>
      </c>
      <c r="O35" s="1">
        <f t="shared" si="6"/>
        <v>4.6797813863059048</v>
      </c>
      <c r="P35" s="1">
        <f t="shared" si="7"/>
        <v>21.061031192609683</v>
      </c>
      <c r="R35" s="25">
        <v>160</v>
      </c>
      <c r="S35" s="1">
        <f t="shared" si="8"/>
        <v>68.763468767620978</v>
      </c>
      <c r="T35" s="1">
        <f t="shared" si="9"/>
        <v>65.495520021903758</v>
      </c>
      <c r="V35" s="25">
        <v>160</v>
      </c>
      <c r="W35" s="1">
        <f t="shared" si="10"/>
        <v>2.2626397022167999</v>
      </c>
      <c r="X35" s="1">
        <f t="shared" si="11"/>
        <v>2.7379427637567453</v>
      </c>
      <c r="Z35" s="25">
        <v>160</v>
      </c>
      <c r="AA35" s="1">
        <f t="shared" si="12"/>
        <v>3.6022465721250447</v>
      </c>
      <c r="AB35" s="1">
        <f t="shared" si="13"/>
        <v>21.061031192609683</v>
      </c>
    </row>
    <row r="36" spans="2:28" ht="19" x14ac:dyDescent="0.25">
      <c r="B36" s="25">
        <v>5.2499999999999998E-2</v>
      </c>
      <c r="C36" s="25">
        <f t="shared" si="3"/>
        <v>13.722988092855456</v>
      </c>
      <c r="D36" s="25">
        <f t="shared" si="4"/>
        <v>21.211260890544203</v>
      </c>
      <c r="F36" s="25">
        <v>5.2499999999999998E-2</v>
      </c>
      <c r="G36" s="25">
        <f t="shared" ref="G36:G75" si="14">lookbackOptionCon($D$3,$D$4,$D$5,$F36,$D$7,$D$8,$D$10,$D$11)</f>
        <v>9.4807292124328892</v>
      </c>
      <c r="H36" s="25">
        <f t="shared" si="1"/>
        <v>17.078996177838448</v>
      </c>
      <c r="J36" s="25">
        <v>9.5000000000000001E-2</v>
      </c>
      <c r="K36" s="25">
        <f t="shared" si="2"/>
        <v>4.552624271313622</v>
      </c>
      <c r="L36" s="25">
        <f t="shared" si="5"/>
        <v>15.142971632828761</v>
      </c>
      <c r="N36" s="25">
        <v>0.76500000000000001</v>
      </c>
      <c r="O36" s="1">
        <f t="shared" si="6"/>
        <v>3.9092310835758881</v>
      </c>
      <c r="P36" s="1">
        <f t="shared" si="7"/>
        <v>21.061031192609683</v>
      </c>
      <c r="R36" s="25">
        <v>170</v>
      </c>
      <c r="S36" s="1">
        <f t="shared" si="8"/>
        <v>83.842706516438227</v>
      </c>
      <c r="T36" s="1">
        <f t="shared" si="9"/>
        <v>75.258144702017759</v>
      </c>
      <c r="V36" s="25">
        <v>170</v>
      </c>
      <c r="W36" s="1">
        <f t="shared" si="10"/>
        <v>1.4799203929362397</v>
      </c>
      <c r="X36" s="1">
        <f t="shared" si="11"/>
        <v>1.8684009856925634</v>
      </c>
      <c r="Z36" s="25">
        <v>170</v>
      </c>
      <c r="AA36" s="1">
        <f t="shared" si="12"/>
        <v>2.5102716937268781</v>
      </c>
      <c r="AB36" s="1">
        <f t="shared" si="13"/>
        <v>21.061031192609683</v>
      </c>
    </row>
    <row r="37" spans="2:28" ht="19" x14ac:dyDescent="0.25">
      <c r="B37" s="25">
        <v>5.5E-2</v>
      </c>
      <c r="C37" s="25">
        <f t="shared" si="3"/>
        <v>13.910612138014812</v>
      </c>
      <c r="D37" s="25">
        <f t="shared" si="4"/>
        <v>21.361858196400028</v>
      </c>
      <c r="F37" s="25">
        <v>5.5E-2</v>
      </c>
      <c r="G37" s="25">
        <f t="shared" si="14"/>
        <v>9.3098955069274929</v>
      </c>
      <c r="H37" s="25">
        <f t="shared" si="1"/>
        <v>16.902950161334488</v>
      </c>
      <c r="J37" s="25">
        <v>0.1</v>
      </c>
      <c r="K37" s="25">
        <f t="shared" si="2"/>
        <v>4.7474886239164613</v>
      </c>
      <c r="L37" s="25">
        <f t="shared" si="5"/>
        <v>15.210083301374098</v>
      </c>
      <c r="N37" s="25">
        <v>0.81</v>
      </c>
      <c r="O37" s="1">
        <f t="shared" si="6"/>
        <v>3.1077513860809423</v>
      </c>
      <c r="P37" s="1">
        <f t="shared" si="7"/>
        <v>21.061031192609683</v>
      </c>
      <c r="R37" s="25">
        <v>180</v>
      </c>
      <c r="S37" s="1">
        <f t="shared" si="8"/>
        <v>99.742616145210974</v>
      </c>
      <c r="T37" s="1">
        <f t="shared" si="9"/>
        <v>85.111228736506902</v>
      </c>
      <c r="V37" s="25">
        <v>180</v>
      </c>
      <c r="W37" s="1">
        <f t="shared" si="10"/>
        <v>0.96281886558306784</v>
      </c>
      <c r="X37" s="1">
        <f t="shared" si="11"/>
        <v>1.266989158887446</v>
      </c>
      <c r="Z37" s="25">
        <v>180</v>
      </c>
      <c r="AA37" s="1">
        <f t="shared" si="12"/>
        <v>1.7330088499276688</v>
      </c>
      <c r="AB37" s="1">
        <f t="shared" si="13"/>
        <v>21.061031192609683</v>
      </c>
    </row>
    <row r="38" spans="2:28" ht="19" x14ac:dyDescent="0.25">
      <c r="B38" s="25">
        <v>5.7500000000000002E-2</v>
      </c>
      <c r="C38" s="25">
        <f t="shared" si="3"/>
        <v>14.099662646593751</v>
      </c>
      <c r="D38" s="25">
        <f t="shared" si="4"/>
        <v>21.512818199472271</v>
      </c>
      <c r="F38" s="25">
        <v>5.7500000000000002E-2</v>
      </c>
      <c r="G38" s="25">
        <f t="shared" si="14"/>
        <v>9.1409439445979945</v>
      </c>
      <c r="H38" s="25">
        <f t="shared" si="1"/>
        <v>16.728124358826321</v>
      </c>
      <c r="J38" s="25">
        <v>0.105</v>
      </c>
      <c r="K38" s="25">
        <f t="shared" si="2"/>
        <v>4.9404195039695367</v>
      </c>
      <c r="L38" s="25">
        <f t="shared" si="5"/>
        <v>15.284667788292978</v>
      </c>
      <c r="N38" s="25">
        <v>0.85499999999999998</v>
      </c>
      <c r="O38" s="1">
        <f t="shared" si="6"/>
        <v>2.2723577893523466</v>
      </c>
      <c r="P38" s="1">
        <f t="shared" si="7"/>
        <v>21.061031192609683</v>
      </c>
      <c r="R38" s="25">
        <v>190</v>
      </c>
      <c r="S38" s="1">
        <f t="shared" si="8"/>
        <v>116.2877606752505</v>
      </c>
      <c r="T38" s="1">
        <f t="shared" si="9"/>
        <v>95.020757418169069</v>
      </c>
      <c r="V38" s="25">
        <v>190</v>
      </c>
      <c r="W38" s="1">
        <f t="shared" si="10"/>
        <v>0.62368075499595788</v>
      </c>
      <c r="X38" s="1">
        <f t="shared" si="11"/>
        <v>0.85503302133057524</v>
      </c>
      <c r="Z38" s="25">
        <v>190</v>
      </c>
      <c r="AA38" s="1">
        <f t="shared" si="12"/>
        <v>1.1869356071956916</v>
      </c>
      <c r="AB38" s="1">
        <f t="shared" si="13"/>
        <v>21.061031192609683</v>
      </c>
    </row>
    <row r="39" spans="2:28" ht="19" x14ac:dyDescent="0.25">
      <c r="B39" s="25">
        <v>0.06</v>
      </c>
      <c r="C39" s="25">
        <f t="shared" si="3"/>
        <v>14.290147561576219</v>
      </c>
      <c r="D39" s="25">
        <f t="shared" si="4"/>
        <v>21.66413597176107</v>
      </c>
      <c r="F39" s="25">
        <v>0.06</v>
      </c>
      <c r="G39" s="25">
        <f t="shared" si="14"/>
        <v>8.9738561385944084</v>
      </c>
      <c r="H39" s="25">
        <f t="shared" si="1"/>
        <v>16.554516679582576</v>
      </c>
      <c r="J39" s="25">
        <v>0.11</v>
      </c>
      <c r="K39" s="25">
        <f t="shared" si="2"/>
        <v>5.1322158506178512</v>
      </c>
      <c r="L39" s="25">
        <f t="shared" si="5"/>
        <v>15.366372268218896</v>
      </c>
      <c r="N39" s="25">
        <v>0.9</v>
      </c>
      <c r="O39" s="1">
        <f t="shared" si="6"/>
        <v>1.4061258405277843</v>
      </c>
      <c r="P39" s="1">
        <f t="shared" si="7"/>
        <v>21.061031192609683</v>
      </c>
      <c r="R39" s="25">
        <v>200</v>
      </c>
      <c r="S39" s="1">
        <f t="shared" si="8"/>
        <v>133.33802031014417</v>
      </c>
      <c r="T39" s="1">
        <f t="shared" si="9"/>
        <v>104.96522160757938</v>
      </c>
      <c r="V39" s="25">
        <v>200</v>
      </c>
      <c r="W39" s="1">
        <f t="shared" si="10"/>
        <v>0.40262152375495919</v>
      </c>
      <c r="X39" s="1">
        <f t="shared" si="11"/>
        <v>0.57497651763840008</v>
      </c>
      <c r="Z39" s="25">
        <v>200</v>
      </c>
      <c r="AA39" s="1">
        <f t="shared" si="12"/>
        <v>0.80757666002562045</v>
      </c>
      <c r="AB39" s="1">
        <f t="shared" si="13"/>
        <v>21.061031192609683</v>
      </c>
    </row>
    <row r="40" spans="2:28" ht="19" x14ac:dyDescent="0.25">
      <c r="B40" s="25">
        <v>6.25E-2</v>
      </c>
      <c r="C40" s="25">
        <f t="shared" si="3"/>
        <v>14.482074760452463</v>
      </c>
      <c r="D40" s="25">
        <f t="shared" si="4"/>
        <v>21.815806568732945</v>
      </c>
      <c r="F40" s="25">
        <v>6.25E-2</v>
      </c>
      <c r="G40" s="25">
        <f t="shared" si="14"/>
        <v>8.8086138254476989</v>
      </c>
      <c r="H40" s="25">
        <f t="shared" si="1"/>
        <v>16.382124984920885</v>
      </c>
      <c r="J40" s="25">
        <v>0.115</v>
      </c>
      <c r="K40" s="25">
        <f t="shared" si="2"/>
        <v>5.3235214773674935</v>
      </c>
      <c r="L40" s="25">
        <f t="shared" si="5"/>
        <v>15.454817538241201</v>
      </c>
      <c r="N40" s="25">
        <v>0.94499999999999995</v>
      </c>
      <c r="O40" s="1">
        <f t="shared" si="6"/>
        <v>0.54707162031149326</v>
      </c>
      <c r="P40" s="1">
        <f t="shared" si="7"/>
        <v>21.061031192609683</v>
      </c>
    </row>
    <row r="41" spans="2:28" ht="19" x14ac:dyDescent="0.25">
      <c r="B41" s="25">
        <v>6.5000000000000002E-2</v>
      </c>
      <c r="C41" s="25">
        <f t="shared" si="3"/>
        <v>14.675452052215482</v>
      </c>
      <c r="D41" s="25">
        <f t="shared" si="4"/>
        <v>21.967825030082075</v>
      </c>
      <c r="F41" s="25">
        <v>6.5000000000000002E-2</v>
      </c>
      <c r="G41" s="25">
        <f t="shared" si="14"/>
        <v>8.6451988667474495</v>
      </c>
      <c r="H41" s="25">
        <f t="shared" si="1"/>
        <v>16.210947088140628</v>
      </c>
      <c r="J41" s="25">
        <v>0.12</v>
      </c>
      <c r="K41" s="25">
        <f t="shared" si="2"/>
        <v>5.5148556476776394</v>
      </c>
      <c r="L41" s="25">
        <f t="shared" si="5"/>
        <v>15.549614417974567</v>
      </c>
      <c r="N41" s="25">
        <v>0.99</v>
      </c>
      <c r="O41" s="1">
        <f t="shared" si="6"/>
        <v>2.3704741749126044E-3</v>
      </c>
      <c r="P41" s="1">
        <f t="shared" si="7"/>
        <v>21.061031192609683</v>
      </c>
    </row>
    <row r="42" spans="2:28" ht="19" x14ac:dyDescent="0.25">
      <c r="B42" s="25">
        <v>6.7500000000000004E-2</v>
      </c>
      <c r="C42" s="25">
        <f t="shared" si="3"/>
        <v>14.870287174359246</v>
      </c>
      <c r="D42" s="25">
        <f t="shared" si="4"/>
        <v>22.12018638049171</v>
      </c>
      <c r="F42" s="25">
        <v>6.7500000000000004E-2</v>
      </c>
      <c r="G42" s="25">
        <f t="shared" si="14"/>
        <v>8.4835932507550389</v>
      </c>
      <c r="H42" s="25">
        <f t="shared" si="1"/>
        <v>16.040980754467007</v>
      </c>
      <c r="J42" s="25">
        <v>0.125</v>
      </c>
      <c r="K42" s="25">
        <f t="shared" si="2"/>
        <v>5.7066374167874505</v>
      </c>
      <c r="L42" s="25">
        <f t="shared" si="5"/>
        <v>15.650375330391824</v>
      </c>
      <c r="O42" s="1"/>
    </row>
    <row r="43" spans="2:28" x14ac:dyDescent="0.2">
      <c r="B43" s="25">
        <v>7.0000000000000007E-2</v>
      </c>
      <c r="C43" s="25">
        <f t="shared" si="3"/>
        <v>15.066587789881357</v>
      </c>
      <c r="D43" s="25">
        <f t="shared" si="4"/>
        <v>22.272885630395187</v>
      </c>
      <c r="F43" s="25">
        <v>7.0000000000000007E-2</v>
      </c>
      <c r="G43" s="25">
        <f t="shared" si="14"/>
        <v>8.3237790939515968</v>
      </c>
      <c r="H43" s="25">
        <f t="shared" si="1"/>
        <v>15.872223701006</v>
      </c>
      <c r="J43" s="25">
        <v>0.13</v>
      </c>
      <c r="K43" s="25">
        <f t="shared" si="2"/>
        <v>5.8992050244061698</v>
      </c>
      <c r="L43" s="25">
        <f t="shared" si="5"/>
        <v>15.756722199284098</v>
      </c>
    </row>
    <row r="44" spans="2:28" x14ac:dyDescent="0.2">
      <c r="B44" s="25">
        <v>7.2499999999999995E-2</v>
      </c>
      <c r="C44" s="25">
        <f t="shared" si="3"/>
        <v>15.264361484291262</v>
      </c>
      <c r="D44" s="25">
        <f t="shared" si="4"/>
        <v>22.425917776736583</v>
      </c>
      <c r="F44" s="25">
        <v>7.2499999999999995E-2</v>
      </c>
      <c r="G44" s="25">
        <f t="shared" si="14"/>
        <v>8.1657386425212426</v>
      </c>
      <c r="H44" s="25">
        <f t="shared" si="1"/>
        <v>15.704673596710556</v>
      </c>
      <c r="J44" s="25">
        <v>0.13500000000000001</v>
      </c>
      <c r="K44" s="25">
        <f t="shared" si="2"/>
        <v>6.0928313721768044</v>
      </c>
      <c r="L44" s="25">
        <f t="shared" si="5"/>
        <v>15.868291598320695</v>
      </c>
    </row>
    <row r="45" spans="2:28" x14ac:dyDescent="0.2">
      <c r="B45" s="25">
        <v>7.4999999999999997E-2</v>
      </c>
      <c r="C45" s="25">
        <f t="shared" si="3"/>
        <v>15.463615762626141</v>
      </c>
      <c r="D45" s="25">
        <f t="shared" si="4"/>
        <v>22.579277803730612</v>
      </c>
      <c r="F45" s="25">
        <v>7.4999999999999997E-2</v>
      </c>
      <c r="G45" s="25">
        <f t="shared" si="14"/>
        <v>8.0094542737690695</v>
      </c>
      <c r="H45" s="25">
        <f t="shared" si="1"/>
        <v>15.538328062358012</v>
      </c>
      <c r="J45" s="25">
        <v>0.14000000000000001</v>
      </c>
      <c r="K45" s="25">
        <f t="shared" si="2"/>
        <v>6.2877364065883086</v>
      </c>
      <c r="L45" s="25">
        <f t="shared" si="5"/>
        <v>15.984737889794445</v>
      </c>
    </row>
    <row r="46" spans="2:28" x14ac:dyDescent="0.2">
      <c r="B46" s="25">
        <v>7.7499999999999999E-2</v>
      </c>
      <c r="C46" s="25">
        <f t="shared" si="3"/>
        <v>15.66435804647606</v>
      </c>
      <c r="D46" s="25">
        <f t="shared" si="4"/>
        <v>22.732960683621599</v>
      </c>
      <c r="F46" s="25">
        <v>7.7499999999999999E-2</v>
      </c>
      <c r="G46" s="25">
        <f t="shared" si="14"/>
        <v>7.8549084974741588</v>
      </c>
      <c r="H46" s="25">
        <f t="shared" si="1"/>
        <v>15.373184670538528</v>
      </c>
      <c r="J46" s="25">
        <v>0.14499999999999999</v>
      </c>
      <c r="K46" s="25">
        <f t="shared" si="2"/>
        <v>6.4840970540541267</v>
      </c>
      <c r="L46" s="25">
        <f t="shared" si="5"/>
        <v>16.105734919764444</v>
      </c>
    </row>
    <row r="47" spans="2:28" x14ac:dyDescent="0.2">
      <c r="B47" s="25">
        <v>0.08</v>
      </c>
      <c r="C47" s="25">
        <f t="shared" si="3"/>
        <v>15.866595671020265</v>
      </c>
      <c r="D47" s="25">
        <f t="shared" si="4"/>
        <v>22.886961377441544</v>
      </c>
      <c r="F47" s="25">
        <v>0.08</v>
      </c>
      <c r="G47" s="25">
        <f t="shared" si="14"/>
        <v>7.7020839571775008</v>
      </c>
      <c r="H47" s="25">
        <f t="shared" si="1"/>
        <v>15.209240945654997</v>
      </c>
      <c r="J47" s="25">
        <v>0.15</v>
      </c>
      <c r="K47" s="25">
        <f t="shared" si="2"/>
        <v>6.6820552161259359</v>
      </c>
      <c r="L47" s="25">
        <f t="shared" si="5"/>
        <v>16.230976696205701</v>
      </c>
    </row>
    <row r="48" spans="2:28" x14ac:dyDescent="0.2">
      <c r="B48" s="25">
        <v>8.2500000000000004E-2</v>
      </c>
      <c r="C48" s="25">
        <f t="shared" si="3"/>
        <v>16.070335882076279</v>
      </c>
      <c r="D48" s="25">
        <f t="shared" si="4"/>
        <v>23.041274835766622</v>
      </c>
      <c r="F48" s="25">
        <v>8.2500000000000004E-2</v>
      </c>
      <c r="G48" s="25">
        <f t="shared" si="14"/>
        <v>7.5509634314047904</v>
      </c>
      <c r="H48" s="25">
        <f t="shared" si="1"/>
        <v>15.046494363933803</v>
      </c>
      <c r="J48" s="25">
        <v>0.155</v>
      </c>
      <c r="K48" s="25">
        <f t="shared" si="2"/>
        <v>6.8817242235136566</v>
      </c>
      <c r="L48" s="25">
        <f t="shared" si="5"/>
        <v>16.360177366484422</v>
      </c>
    </row>
    <row r="49" spans="2:12" x14ac:dyDescent="0.2">
      <c r="B49" s="25">
        <v>8.5000000000000006E-2</v>
      </c>
      <c r="C49" s="25">
        <f t="shared" si="3"/>
        <v>16.275585833163792</v>
      </c>
      <c r="D49" s="25">
        <f t="shared" si="4"/>
        <v>23.195895999472377</v>
      </c>
      <c r="F49" s="25">
        <v>8.5000000000000006E-2</v>
      </c>
      <c r="G49" s="25">
        <f t="shared" si="14"/>
        <v>7.4015298348245313</v>
      </c>
      <c r="H49" s="25">
        <f t="shared" si="1"/>
        <v>14.884942353447265</v>
      </c>
      <c r="J49" s="25">
        <v>0.16</v>
      </c>
      <c r="K49" s="25">
        <f t="shared" si="2"/>
        <v>7.0831940620515272</v>
      </c>
      <c r="L49" s="25">
        <f t="shared" si="5"/>
        <v>16.493070725773578</v>
      </c>
    </row>
    <row r="50" spans="2:12" x14ac:dyDescent="0.2">
      <c r="B50" s="25">
        <v>8.7499999999999994E-2</v>
      </c>
      <c r="C50" s="25">
        <f t="shared" si="3"/>
        <v>16.482352582584955</v>
      </c>
      <c r="D50" s="25">
        <f t="shared" si="4"/>
        <v>23.350819800487187</v>
      </c>
      <c r="F50" s="25">
        <v>8.7499999999999994E-2</v>
      </c>
      <c r="G50" s="25">
        <f t="shared" si="14"/>
        <v>7.2537662193411299</v>
      </c>
      <c r="H50" s="25">
        <f t="shared" si="1"/>
        <v>14.724582294146884</v>
      </c>
      <c r="J50" s="25">
        <v>0.16500000000000001</v>
      </c>
      <c r="K50" s="25">
        <f t="shared" si="2"/>
        <v>7.2865356170179849</v>
      </c>
      <c r="L50" s="25">
        <f t="shared" si="5"/>
        <v>16.629409424074368</v>
      </c>
    </row>
    <row r="51" spans="2:12" x14ac:dyDescent="0.2">
      <c r="B51" s="25">
        <v>0.09</v>
      </c>
      <c r="C51" s="25">
        <f t="shared" si="3"/>
        <v>16.690643090522805</v>
      </c>
      <c r="D51" s="25">
        <f t="shared" si="4"/>
        <v>23.50604116254376</v>
      </c>
      <c r="F51" s="25">
        <v>0.09</v>
      </c>
      <c r="G51" s="25">
        <f t="shared" si="14"/>
        <v>7.1076557751236891</v>
      </c>
      <c r="H51" s="25">
        <f t="shared" ref="H51:H75" si="15">BS_call($D$3,$D$4,$D$5,$D$7,$F51,$D$8)</f>
        <v>14.565411517908139</v>
      </c>
      <c r="J51" s="25">
        <v>0.17</v>
      </c>
      <c r="K51" s="25">
        <f t="shared" ref="K51:K82" si="16">lookbackOptionCon($D$3,$D$4,$D$5,$D$6,$J51,$D$8,$D$10,$D$11)</f>
        <v>7.4918041301906406</v>
      </c>
      <c r="L51" s="25">
        <f t="shared" ref="L51:L82" si="17">BS_call($D$3,$D$4,$D$5,$J51,$D$6,$D$8)</f>
        <v>16.768963991825245</v>
      </c>
    </row>
    <row r="52" spans="2:12" x14ac:dyDescent="0.2">
      <c r="B52" s="25">
        <v>9.2499999999999999E-2</v>
      </c>
      <c r="C52" s="25">
        <f t="shared" si="3"/>
        <v>16.900464216159868</v>
      </c>
      <c r="D52" s="25">
        <f t="shared" si="4"/>
        <v>23.661555001928591</v>
      </c>
      <c r="F52" s="25">
        <v>9.2499999999999999E-2</v>
      </c>
      <c r="G52" s="25">
        <f t="shared" si="14"/>
        <v>6.963181831570239</v>
      </c>
      <c r="H52" s="25">
        <f t="shared" si="15"/>
        <v>14.407427308586342</v>
      </c>
      <c r="J52" s="25">
        <v>0.17499999999999999</v>
      </c>
      <c r="K52" s="25">
        <f t="shared" si="16"/>
        <v>7.6990420234237229</v>
      </c>
      <c r="L52" s="25">
        <f t="shared" si="17"/>
        <v>16.911521768869861</v>
      </c>
    </row>
    <row r="53" spans="2:12" x14ac:dyDescent="0.2">
      <c r="B53" s="25">
        <v>9.5000000000000001E-2</v>
      </c>
      <c r="C53" s="25">
        <f t="shared" si="3"/>
        <v>17.111822714818455</v>
      </c>
      <c r="D53" s="25">
        <f t="shared" si="4"/>
        <v>23.81735622822913</v>
      </c>
      <c r="F53" s="25">
        <v>9.5000000000000001E-2</v>
      </c>
      <c r="G53" s="25">
        <f t="shared" si="14"/>
        <v>6.8203278582080191</v>
      </c>
      <c r="H53" s="25">
        <f t="shared" si="15"/>
        <v>14.250626902083837</v>
      </c>
      <c r="J53" s="25">
        <v>0.18</v>
      </c>
      <c r="K53" s="25">
        <f t="shared" si="16"/>
        <v>7.9082812108071998</v>
      </c>
      <c r="L53" s="25">
        <f t="shared" si="17"/>
        <v>17.056885795760394</v>
      </c>
    </row>
    <row r="54" spans="2:12" x14ac:dyDescent="0.2">
      <c r="B54" s="25">
        <v>9.7500000000000003E-2</v>
      </c>
      <c r="C54" s="25">
        <f t="shared" si="3"/>
        <v>17.324725235124454</v>
      </c>
      <c r="D54" s="25">
        <f t="shared" si="4"/>
        <v>23.973439745078458</v>
      </c>
      <c r="F54" s="25">
        <v>9.7500000000000003E-2</v>
      </c>
      <c r="G54" s="25">
        <f t="shared" si="14"/>
        <v>6.6790774655300069</v>
      </c>
      <c r="H54" s="25">
        <f t="shared" si="15"/>
        <v>14.095007486428337</v>
      </c>
      <c r="J54" s="25">
        <v>0.185</v>
      </c>
      <c r="K54" s="25">
        <f t="shared" si="16"/>
        <v>8.119544996606594</v>
      </c>
      <c r="L54" s="25">
        <f t="shared" si="17"/>
        <v>17.204873707612748</v>
      </c>
    </row>
    <row r="55" spans="2:12" x14ac:dyDescent="0.2">
      <c r="B55" s="25">
        <v>0.1</v>
      </c>
      <c r="C55" s="25">
        <f t="shared" si="3"/>
        <v>17.539178316196693</v>
      </c>
      <c r="D55" s="25">
        <f t="shared" si="4"/>
        <v>24.129800450897115</v>
      </c>
      <c r="F55" s="25">
        <v>0.1</v>
      </c>
      <c r="G55" s="25">
        <f t="shared" si="14"/>
        <v>6.5394144057679942</v>
      </c>
      <c r="H55" s="25">
        <f t="shared" si="15"/>
        <v>13.94056620186246</v>
      </c>
      <c r="J55" s="25">
        <v>0.19</v>
      </c>
      <c r="K55" s="25">
        <f t="shared" si="16"/>
        <v>8.332849636649172</v>
      </c>
      <c r="L55" s="25">
        <f t="shared" si="17"/>
        <v>17.355316657184872</v>
      </c>
    </row>
    <row r="56" spans="2:12" x14ac:dyDescent="0.2">
      <c r="B56" s="25">
        <v>0.10249999999999999</v>
      </c>
      <c r="C56" s="25">
        <f t="shared" si="3"/>
        <v>17.755188384863086</v>
      </c>
      <c r="D56" s="25">
        <f t="shared" si="4"/>
        <v>24.28643323963253</v>
      </c>
      <c r="F56" s="25">
        <v>0.10249999999999999</v>
      </c>
      <c r="G56" s="25">
        <f t="shared" si="14"/>
        <v>6.4013225736026698</v>
      </c>
      <c r="H56" s="25">
        <f t="shared" si="15"/>
        <v>13.787300140944602</v>
      </c>
      <c r="J56" s="25">
        <v>0.19500000000000001</v>
      </c>
      <c r="K56" s="25">
        <f t="shared" si="16"/>
        <v>8.5482056254256502</v>
      </c>
      <c r="L56" s="25">
        <f t="shared" si="17"/>
        <v>17.508058284143161</v>
      </c>
    </row>
    <row r="57" spans="2:12" x14ac:dyDescent="0.2">
      <c r="B57" s="25">
        <v>0.105</v>
      </c>
      <c r="C57" s="25">
        <f t="shared" si="3"/>
        <v>17.972761752905864</v>
      </c>
      <c r="D57" s="25">
        <f t="shared" si="4"/>
        <v>24.443333001494864</v>
      </c>
      <c r="F57" s="25">
        <v>0.105</v>
      </c>
      <c r="G57" s="25">
        <f t="shared" si="14"/>
        <v>6.2647860068111569</v>
      </c>
      <c r="H57" s="25">
        <f t="shared" si="15"/>
        <v>13.63520634866078</v>
      </c>
      <c r="J57" s="25">
        <v>0.2</v>
      </c>
      <c r="K57" s="25">
        <f t="shared" si="16"/>
        <v>8.765618759001006</v>
      </c>
      <c r="L57" s="25">
        <f t="shared" si="17"/>
        <v>17.662953740590439</v>
      </c>
    </row>
    <row r="58" spans="2:12" x14ac:dyDescent="0.2">
      <c r="B58" s="25">
        <v>0.1075</v>
      </c>
      <c r="C58" s="25">
        <f t="shared" si="3"/>
        <v>18.191904614337204</v>
      </c>
      <c r="D58" s="25">
        <f t="shared" si="4"/>
        <v>24.600494623689848</v>
      </c>
      <c r="F58" s="25">
        <v>0.1075</v>
      </c>
      <c r="G58" s="25">
        <f t="shared" si="14"/>
        <v>6.1297888868523263</v>
      </c>
      <c r="H58" s="25">
        <f t="shared" si="15"/>
        <v>13.484281822547722</v>
      </c>
      <c r="J58" s="25">
        <v>0.20499999999999999</v>
      </c>
      <c r="K58" s="25">
        <f t="shared" si="16"/>
        <v>8.9850910141668585</v>
      </c>
      <c r="L58" s="25">
        <f t="shared" si="17"/>
        <v>17.8198687780923</v>
      </c>
    </row>
    <row r="59" spans="2:12" x14ac:dyDescent="0.2">
      <c r="B59" s="25">
        <v>0.11</v>
      </c>
      <c r="C59" s="25">
        <f t="shared" si="3"/>
        <v>18.412623042707402</v>
      </c>
      <c r="D59" s="25">
        <f t="shared" si="4"/>
        <v>24.75791299114838</v>
      </c>
      <c r="F59" s="25">
        <v>0.11</v>
      </c>
      <c r="G59" s="25">
        <f t="shared" si="14"/>
        <v>5.996315539390582</v>
      </c>
      <c r="H59" s="25">
        <f t="shared" si="15"/>
        <v>13.334523512827118</v>
      </c>
      <c r="J59" s="25">
        <v>0.21</v>
      </c>
      <c r="K59" s="25">
        <f t="shared" si="16"/>
        <v>9.2066212765757722</v>
      </c>
      <c r="L59" s="25">
        <f t="shared" si="17"/>
        <v>17.978678898090052</v>
      </c>
    </row>
    <row r="60" spans="2:12" x14ac:dyDescent="0.2">
      <c r="B60" s="25">
        <v>0.1125</v>
      </c>
      <c r="C60" s="25">
        <f t="shared" si="3"/>
        <v>18.634922988446707</v>
      </c>
      <c r="D60" s="25">
        <f t="shared" si="4"/>
        <v>24.915582987252122</v>
      </c>
      <c r="F60" s="25">
        <v>0.1125</v>
      </c>
      <c r="G60" s="25">
        <f t="shared" si="14"/>
        <v>5.8643504347584789</v>
      </c>
      <c r="H60" s="25">
        <f t="shared" si="15"/>
        <v>13.185928322550851</v>
      </c>
      <c r="J60" s="25">
        <v>0.215</v>
      </c>
      <c r="K60" s="25">
        <f t="shared" si="16"/>
        <v>9.4302059444528012</v>
      </c>
      <c r="L60" s="25">
        <f t="shared" si="17"/>
        <v>18.139268565320961</v>
      </c>
    </row>
    <row r="61" spans="2:12" x14ac:dyDescent="0.2">
      <c r="B61" s="25">
        <v>0.115</v>
      </c>
      <c r="C61" s="25">
        <f t="shared" si="3"/>
        <v>18.858810276243343</v>
      </c>
      <c r="D61" s="25">
        <f t="shared" si="4"/>
        <v>25.073499494555669</v>
      </c>
      <c r="F61" s="25">
        <v>0.115</v>
      </c>
      <c r="G61" s="25">
        <f t="shared" si="14"/>
        <v>5.7338781883589043</v>
      </c>
      <c r="H61" s="25">
        <f t="shared" si="15"/>
        <v>13.038493107757297</v>
      </c>
      <c r="J61" s="25">
        <v>0.22</v>
      </c>
      <c r="K61" s="25">
        <f t="shared" si="16"/>
        <v>9.6558394295533212</v>
      </c>
      <c r="L61" s="25">
        <f t="shared" si="17"/>
        <v>18.301530482371675</v>
      </c>
    </row>
    <row r="62" spans="2:12" x14ac:dyDescent="0.2">
      <c r="B62" s="25">
        <v>0.11749999999999999</v>
      </c>
      <c r="C62" s="25">
        <f t="shared" si="3"/>
        <v>19.08429060245847</v>
      </c>
      <c r="D62" s="25">
        <f t="shared" si="4"/>
        <v>25.231657395504598</v>
      </c>
      <c r="F62" s="25">
        <v>0.11749999999999999</v>
      </c>
      <c r="G62" s="25">
        <f t="shared" si="14"/>
        <v>5.6048835610071777</v>
      </c>
      <c r="H62" s="25">
        <f t="shared" si="15"/>
        <v>12.892214677638691</v>
      </c>
      <c r="J62" s="25">
        <v>0.22500000000000001</v>
      </c>
      <c r="K62" s="25">
        <f t="shared" si="16"/>
        <v>9.8835145730749741</v>
      </c>
      <c r="L62" s="25">
        <f t="shared" si="17"/>
        <v>18.465364922549782</v>
      </c>
    </row>
    <row r="63" spans="2:12" x14ac:dyDescent="0.2">
      <c r="B63" s="25">
        <v>0.12</v>
      </c>
      <c r="C63" s="25">
        <f t="shared" si="3"/>
        <v>19.311369532580684</v>
      </c>
      <c r="D63" s="25">
        <f t="shared" si="4"/>
        <v>25.390051573149364</v>
      </c>
      <c r="F63" s="25">
        <v>0.12</v>
      </c>
      <c r="G63" s="25">
        <f t="shared" si="14"/>
        <v>5.4773514592140753</v>
      </c>
      <c r="H63" s="25">
        <f t="shared" si="15"/>
        <v>12.747089794719358</v>
      </c>
      <c r="J63" s="25">
        <v>0.23</v>
      </c>
      <c r="K63" s="25">
        <f t="shared" si="16"/>
        <v>10.113222991034402</v>
      </c>
      <c r="L63" s="25">
        <f t="shared" si="17"/>
        <v>18.630679117709334</v>
      </c>
    </row>
    <row r="64" spans="2:12" x14ac:dyDescent="0.2">
      <c r="B64" s="25">
        <v>0.1225</v>
      </c>
      <c r="C64" s="25">
        <f t="shared" si="3"/>
        <v>19.540052498720847</v>
      </c>
      <c r="D64" s="25">
        <f t="shared" si="4"/>
        <v>25.548676911855068</v>
      </c>
      <c r="F64" s="25">
        <v>0.1225</v>
      </c>
      <c r="G64" s="25">
        <f t="shared" si="14"/>
        <v>5.3512669354100568</v>
      </c>
      <c r="H64" s="25">
        <f t="shared" si="15"/>
        <v>12.603115175044955</v>
      </c>
      <c r="J64" s="25">
        <v>0.23499999999999999</v>
      </c>
      <c r="K64" s="25">
        <f t="shared" si="16"/>
        <v>10.344955361032737</v>
      </c>
      <c r="L64" s="25">
        <f t="shared" si="17"/>
        <v>18.797386697390579</v>
      </c>
    </row>
    <row r="65" spans="2:12" x14ac:dyDescent="0.2">
      <c r="B65" s="25">
        <v>0.125</v>
      </c>
      <c r="C65" s="25">
        <f t="shared" si="3"/>
        <v>19.770344797149587</v>
      </c>
      <c r="D65" s="25">
        <f t="shared" si="4"/>
        <v>25.707528298006537</v>
      </c>
      <c r="F65" s="25">
        <v>0.125</v>
      </c>
      <c r="G65" s="25">
        <f t="shared" si="14"/>
        <v>5.2266151881116478</v>
      </c>
      <c r="H65" s="25">
        <f t="shared" si="15"/>
        <v>12.46028748838242</v>
      </c>
      <c r="J65" s="25">
        <v>0.24</v>
      </c>
      <c r="K65" s="25">
        <f t="shared" si="16"/>
        <v>10.578701660232714</v>
      </c>
      <c r="L65" s="25">
        <f t="shared" si="17"/>
        <v>18.965407175547938</v>
      </c>
    </row>
    <row r="66" spans="2:12" x14ac:dyDescent="0.2">
      <c r="B66" s="25">
        <v>0.1275</v>
      </c>
      <c r="C66" s="25">
        <f t="shared" si="3"/>
        <v>20.002251585878607</v>
      </c>
      <c r="D66" s="25">
        <f t="shared" si="4"/>
        <v>25.866600620708958</v>
      </c>
      <c r="F66" s="25">
        <v>0.1275</v>
      </c>
      <c r="G66" s="25">
        <f t="shared" si="14"/>
        <v>5.1033815620305827</v>
      </c>
      <c r="H66" s="25">
        <f t="shared" si="15"/>
        <v>12.318603358430934</v>
      </c>
      <c r="J66" s="25">
        <v>0.245</v>
      </c>
      <c r="K66" s="25">
        <f t="shared" si="16"/>
        <v>10.814451362660121</v>
      </c>
      <c r="L66" s="25">
        <f t="shared" si="17"/>
        <v>19.134665481181514</v>
      </c>
    </row>
    <row r="67" spans="2:12" x14ac:dyDescent="0.2">
      <c r="B67" s="25">
        <v>0.13</v>
      </c>
      <c r="C67" s="25">
        <f t="shared" si="3"/>
        <v>20.235777882287689</v>
      </c>
      <c r="D67" s="25">
        <f t="shared" si="4"/>
        <v>26.02588877248354</v>
      </c>
      <c r="F67" s="25">
        <v>0.13</v>
      </c>
      <c r="G67" s="25">
        <f t="shared" si="14"/>
        <v>4.9815515481266033</v>
      </c>
      <c r="H67" s="25">
        <f t="shared" si="15"/>
        <v>12.17805936304341</v>
      </c>
      <c r="J67" s="25">
        <v>0.25</v>
      </c>
      <c r="K67" s="25">
        <f t="shared" si="16"/>
        <v>11.052193602545227</v>
      </c>
      <c r="L67" s="25">
        <f t="shared" si="17"/>
        <v>19.305091529311397</v>
      </c>
    </row>
    <row r="68" spans="2:12" x14ac:dyDescent="0.2">
      <c r="B68" s="25">
        <v>0.13250000000000001</v>
      </c>
      <c r="C68" s="25">
        <f t="shared" si="3"/>
        <v>20.470928560798715</v>
      </c>
      <c r="D68" s="25">
        <f t="shared" si="4"/>
        <v>26.185387649958393</v>
      </c>
      <c r="F68" s="25">
        <v>0.13250000000000001</v>
      </c>
      <c r="G68" s="25">
        <f t="shared" si="14"/>
        <v>4.8611107836044241</v>
      </c>
      <c r="H68" s="25">
        <f t="shared" si="15"/>
        <v>12.038652034458856</v>
      </c>
      <c r="J68" s="25">
        <v>0.255</v>
      </c>
      <c r="K68" s="25">
        <f t="shared" si="16"/>
        <v>11.291917309275764</v>
      </c>
      <c r="L68" s="25">
        <f t="shared" si="17"/>
        <v>19.476619828911332</v>
      </c>
    </row>
    <row r="69" spans="2:12" x14ac:dyDescent="0.2">
      <c r="B69" s="25">
        <v>0.13500000000000001</v>
      </c>
      <c r="C69" s="25">
        <f t="shared" si="3"/>
        <v>20.707708350598399</v>
      </c>
      <c r="D69" s="25">
        <f t="shared" si="4"/>
        <v>26.345092154554223</v>
      </c>
      <c r="F69" s="25">
        <v>0.13500000000000001</v>
      </c>
      <c r="G69" s="25">
        <f t="shared" si="14"/>
        <v>4.7420450518560182</v>
      </c>
      <c r="H69" s="25">
        <f t="shared" si="15"/>
        <v>11.900377859545095</v>
      </c>
      <c r="J69" s="25">
        <v>0.26</v>
      </c>
      <c r="K69" s="25">
        <f t="shared" si="16"/>
        <v>11.533611318594197</v>
      </c>
      <c r="L69" s="25">
        <f t="shared" si="17"/>
        <v>19.649189124623184</v>
      </c>
    </row>
    <row r="70" spans="2:12" x14ac:dyDescent="0.2">
      <c r="B70" s="25">
        <v>0.13750000000000001</v>
      </c>
      <c r="C70" s="25">
        <f t="shared" si="3"/>
        <v>20.946121833411294</v>
      </c>
      <c r="D70" s="25">
        <f t="shared" si="4"/>
        <v>26.504997193164684</v>
      </c>
      <c r="F70" s="25">
        <v>0.13750000000000001</v>
      </c>
      <c r="G70" s="25">
        <f t="shared" si="14"/>
        <v>4.6243402823488333</v>
      </c>
      <c r="H70" s="25">
        <f t="shared" si="15"/>
        <v>11.763233280052361</v>
      </c>
      <c r="J70" s="25">
        <v>0.26500000000000001</v>
      </c>
      <c r="K70" s="25">
        <f t="shared" si="16"/>
        <v>11.777264463897939</v>
      </c>
      <c r="L70" s="25">
        <f t="shared" si="17"/>
        <v>19.822742069294769</v>
      </c>
    </row>
    <row r="71" spans="2:12" x14ac:dyDescent="0.2">
      <c r="B71" s="25">
        <v>0.14000000000000001</v>
      </c>
      <c r="C71" s="25">
        <f t="shared" si="3"/>
        <v>21.186173441324446</v>
      </c>
      <c r="D71" s="25">
        <f t="shared" si="4"/>
        <v>26.665097678831387</v>
      </c>
      <c r="F71" s="25">
        <v>0.14000000000000001</v>
      </c>
      <c r="G71" s="25">
        <f t="shared" si="14"/>
        <v>4.5079825504608015</v>
      </c>
      <c r="H71" s="25">
        <f t="shared" si="15"/>
        <v>11.627214692876983</v>
      </c>
      <c r="J71" s="25">
        <v>0.27</v>
      </c>
      <c r="K71" s="25">
        <f t="shared" si="16"/>
        <v>12.022865650864016</v>
      </c>
      <c r="L71" s="25">
        <f t="shared" si="17"/>
        <v>19.997224924606627</v>
      </c>
    </row>
    <row r="72" spans="2:12" x14ac:dyDescent="0.2">
      <c r="B72" s="25">
        <v>0.14249999999999999</v>
      </c>
      <c r="C72" s="25">
        <f t="shared" si="3"/>
        <v>21.427867454665076</v>
      </c>
      <c r="D72" s="25">
        <f t="shared" si="4"/>
        <v>26.825388531413424</v>
      </c>
      <c r="F72" s="25">
        <v>0.14249999999999999</v>
      </c>
      <c r="G72" s="25">
        <f t="shared" si="14"/>
        <v>4.3929580772631587</v>
      </c>
      <c r="H72" s="25">
        <f t="shared" si="15"/>
        <v>11.492318450335738</v>
      </c>
      <c r="J72" s="25">
        <v>0.27500000000000002</v>
      </c>
      <c r="K72" s="25">
        <f t="shared" si="16"/>
        <v>12.270403918091054</v>
      </c>
      <c r="L72" s="25">
        <f t="shared" si="17"/>
        <v>20.172587287273132</v>
      </c>
    </row>
    <row r="73" spans="2:12" x14ac:dyDescent="0.2">
      <c r="B73" s="25">
        <v>0.14499999999999999</v>
      </c>
      <c r="C73" s="25">
        <f t="shared" si="3"/>
        <v>21.671207999933046</v>
      </c>
      <c r="D73" s="25">
        <f t="shared" si="4"/>
        <v>26.985864678251005</v>
      </c>
      <c r="F73" s="25">
        <v>0.14499999999999999</v>
      </c>
      <c r="G73" s="25">
        <f t="shared" si="14"/>
        <v>4.2792532292518786</v>
      </c>
      <c r="H73" s="25">
        <f t="shared" si="15"/>
        <v>11.358540860450482</v>
      </c>
      <c r="J73" s="25">
        <v>0.28000000000000003</v>
      </c>
      <c r="K73" s="25">
        <f t="shared" si="16"/>
        <v>12.519868486013928</v>
      </c>
      <c r="L73" s="25">
        <f t="shared" si="17"/>
        <v>20.348781838515258</v>
      </c>
    </row>
    <row r="74" spans="2:12" x14ac:dyDescent="0.2">
      <c r="B74" s="25">
        <v>0.14749999999999999</v>
      </c>
      <c r="C74" s="25">
        <f t="shared" si="3"/>
        <v>21.91619904778916</v>
      </c>
      <c r="D74" s="25">
        <f t="shared" si="4"/>
        <v>27.146521054823282</v>
      </c>
      <c r="F74" s="25">
        <v>0.14749999999999999</v>
      </c>
      <c r="G74" s="25">
        <f t="shared" si="14"/>
        <v>4.1668545180287113</v>
      </c>
      <c r="H74" s="25">
        <f t="shared" si="15"/>
        <v>11.225878187242799</v>
      </c>
      <c r="J74" s="25">
        <v>0.28499999999999998</v>
      </c>
      <c r="K74" s="25">
        <f t="shared" si="16"/>
        <v>12.771248795982981</v>
      </c>
      <c r="L74" s="25">
        <f t="shared" si="17"/>
        <v>20.525764114701637</v>
      </c>
    </row>
    <row r="75" spans="2:12" x14ac:dyDescent="0.2">
      <c r="B75" s="25">
        <v>0.15</v>
      </c>
      <c r="C75" s="25">
        <f t="shared" si="3"/>
        <v>22.162844411100842</v>
      </c>
      <c r="D75" s="25">
        <f t="shared" si="4"/>
        <v>27.307352605400368</v>
      </c>
      <c r="F75" s="25">
        <v>0.15</v>
      </c>
      <c r="G75" s="25">
        <f t="shared" si="14"/>
        <v>4.055748599932679</v>
      </c>
      <c r="H75" s="25">
        <f t="shared" si="15"/>
        <v>11.094326651038948</v>
      </c>
      <c r="J75" s="25">
        <v>0.28999999999999998</v>
      </c>
      <c r="K75" s="25">
        <f t="shared" si="16"/>
        <v>13.02453454109679</v>
      </c>
      <c r="L75" s="25">
        <f t="shared" si="17"/>
        <v>20.703492297243095</v>
      </c>
    </row>
    <row r="76" spans="2:12" x14ac:dyDescent="0.2">
      <c r="B76" s="25">
        <v>0.1525</v>
      </c>
      <c r="C76" s="25">
        <f t="shared" si="3"/>
        <v>22.411147743046588</v>
      </c>
      <c r="D76" s="25">
        <f t="shared" si="4"/>
        <v>27.468354283688811</v>
      </c>
      <c r="J76" s="25">
        <v>0.29499999999999998</v>
      </c>
      <c r="K76" s="25">
        <f t="shared" si="16"/>
        <v>13.279715690124423</v>
      </c>
      <c r="L76" s="25">
        <f t="shared" si="17"/>
        <v>20.881927019998294</v>
      </c>
    </row>
    <row r="77" spans="2:12" x14ac:dyDescent="0.2">
      <c r="B77" s="25">
        <v>0.155</v>
      </c>
      <c r="C77" s="25">
        <f t="shared" si="3"/>
        <v>22.661112535280203</v>
      </c>
      <c r="D77" s="25">
        <f t="shared" si="4"/>
        <v>27.629521053471322</v>
      </c>
      <c r="J77" s="25">
        <v>0.3</v>
      </c>
      <c r="K77" s="25">
        <f t="shared" si="16"/>
        <v>13.536782505642542</v>
      </c>
      <c r="L77" s="25">
        <f t="shared" si="17"/>
        <v>21.061031192609683</v>
      </c>
    </row>
    <row r="78" spans="2:12" x14ac:dyDescent="0.2">
      <c r="B78" s="25">
        <v>0.1575</v>
      </c>
      <c r="C78" s="25">
        <f t="shared" si="3"/>
        <v>22.912742116156668</v>
      </c>
      <c r="D78" s="25">
        <f t="shared" si="4"/>
        <v>27.790847889239686</v>
      </c>
      <c r="J78" s="25">
        <v>0.30499999999999999</v>
      </c>
      <c r="K78" s="25">
        <f t="shared" si="16"/>
        <v>13.795725557335478</v>
      </c>
      <c r="L78" s="25">
        <f t="shared" si="17"/>
        <v>21.240769838334764</v>
      </c>
    </row>
    <row r="79" spans="2:12" x14ac:dyDescent="0.2">
      <c r="B79" s="25">
        <v>0.16</v>
      </c>
      <c r="C79" s="25">
        <f t="shared" si="3"/>
        <v>23.166039649020039</v>
      </c>
      <c r="D79" s="25">
        <f t="shared" si="4"/>
        <v>27.952329776821372</v>
      </c>
      <c r="J79" s="25">
        <v>0.31</v>
      </c>
      <c r="K79" s="25">
        <f t="shared" si="16"/>
        <v>14.056535731257977</v>
      </c>
      <c r="L79" s="25">
        <f t="shared" si="17"/>
        <v>21.421109945072615</v>
      </c>
    </row>
    <row r="80" spans="2:12" x14ac:dyDescent="0.2">
      <c r="B80" s="25">
        <v>0.16250000000000001</v>
      </c>
      <c r="C80" s="25">
        <f t="shared" si="3"/>
        <v>23.421008130555375</v>
      </c>
      <c r="D80" s="25">
        <f t="shared" si="4"/>
        <v>28.113961713999259</v>
      </c>
      <c r="J80" s="25">
        <v>0.315</v>
      </c>
      <c r="K80" s="25">
        <f t="shared" si="16"/>
        <v>14.319204235736029</v>
      </c>
      <c r="L80" s="25">
        <f t="shared" si="17"/>
        <v>21.602020328407129</v>
      </c>
    </row>
    <row r="81" spans="2:12" x14ac:dyDescent="0.2">
      <c r="B81" s="25">
        <v>0.16500000000000001</v>
      </c>
      <c r="C81" s="25">
        <f t="shared" si="3"/>
        <v>23.677650389205443</v>
      </c>
      <c r="D81" s="25">
        <f t="shared" si="4"/>
        <v>28.275738711125044</v>
      </c>
      <c r="J81" s="25">
        <v>0.32</v>
      </c>
      <c r="K81" s="25">
        <f t="shared" si="16"/>
        <v>14.583722604475851</v>
      </c>
      <c r="L81" s="25">
        <f t="shared" si="17"/>
        <v>21.783471505599756</v>
      </c>
    </row>
    <row r="82" spans="2:12" x14ac:dyDescent="0.2">
      <c r="B82" s="25">
        <v>0.16750000000000001</v>
      </c>
      <c r="C82" s="25">
        <f t="shared" si="3"/>
        <v>23.935969083653369</v>
      </c>
      <c r="D82" s="25">
        <f t="shared" si="4"/>
        <v>28.437655791725206</v>
      </c>
      <c r="J82" s="25">
        <v>0.32500000000000001</v>
      </c>
      <c r="K82" s="25">
        <f t="shared" si="16"/>
        <v>14.85008269736309</v>
      </c>
      <c r="L82" s="25">
        <f t="shared" si="17"/>
        <v>21.965435579564961</v>
      </c>
    </row>
    <row r="83" spans="2:12" x14ac:dyDescent="0.2">
      <c r="B83" s="25">
        <v>0.17</v>
      </c>
      <c r="C83" s="25">
        <f t="shared" si="3"/>
        <v>24.195966701372239</v>
      </c>
      <c r="D83" s="25">
        <f t="shared" si="4"/>
        <v>28.599707993100338</v>
      </c>
      <c r="J83" s="25">
        <v>0.33</v>
      </c>
      <c r="K83" s="25">
        <f t="shared" ref="K83:K114" si="18">lookbackOptionCon($D$3,$D$4,$D$5,$D$6,$J83,$D$8,$D$10,$D$11)</f>
        <v>15.118276699359271</v>
      </c>
      <c r="L83" s="25">
        <f t="shared" ref="L83:L114" si="19">BS_call($D$3,$D$4,$D$5,$J83,$D$6,$D$8)</f>
        <v>22.147886131952433</v>
      </c>
    </row>
    <row r="84" spans="2:12" x14ac:dyDescent="0.2">
      <c r="B84" s="25">
        <v>0.17249999999999999</v>
      </c>
      <c r="C84" s="25">
        <f t="shared" ref="C84:C147" si="20">lookbackOptionCon($D$3,$D$4,$B84,$D$6,$D$7,$D$8,$D$10,$D$11)</f>
        <v>24.457645557243037</v>
      </c>
      <c r="D84" s="25">
        <f t="shared" ref="D84:D147" si="21">BS_call($D$3,$D$4,$B84,$D$7,$D$6,$D$8)</f>
        <v>28.761890366917314</v>
      </c>
      <c r="J84" s="25">
        <v>0.33500000000000002</v>
      </c>
      <c r="K84" s="25">
        <f t="shared" si="18"/>
        <v>15.388297117840313</v>
      </c>
      <c r="L84" s="25">
        <f t="shared" si="19"/>
        <v>22.330798124542568</v>
      </c>
    </row>
    <row r="85" spans="2:12" x14ac:dyDescent="0.2">
      <c r="B85" s="25">
        <v>0.17499999999999999</v>
      </c>
      <c r="C85" s="25">
        <f t="shared" si="20"/>
        <v>24.721007792241462</v>
      </c>
      <c r="D85" s="25">
        <f t="shared" si="21"/>
        <v>28.924197979794044</v>
      </c>
      <c r="J85" s="25">
        <v>0.34</v>
      </c>
      <c r="K85" s="25">
        <f t="shared" si="18"/>
        <v>15.660136778667255</v>
      </c>
      <c r="L85" s="25">
        <f t="shared" si="19"/>
        <v>22.514147808236025</v>
      </c>
    </row>
    <row r="86" spans="2:12" x14ac:dyDescent="0.2">
      <c r="B86" s="25">
        <v>0.17749999999999999</v>
      </c>
      <c r="C86" s="25">
        <f t="shared" si="20"/>
        <v>24.986055372194844</v>
      </c>
      <c r="D86" s="25">
        <f t="shared" si="21"/>
        <v>29.086625913877157</v>
      </c>
      <c r="J86" s="25">
        <v>0.34499999999999997</v>
      </c>
      <c r="K86" s="25">
        <f t="shared" si="18"/>
        <v>15.93378882123586</v>
      </c>
      <c r="L86" s="25">
        <f t="shared" si="19"/>
        <v>22.697912638985301</v>
      </c>
    </row>
    <row r="87" spans="2:12" x14ac:dyDescent="0.2">
      <c r="B87" s="25">
        <v>0.18</v>
      </c>
      <c r="C87" s="25">
        <f t="shared" si="20"/>
        <v>25.252790086610126</v>
      </c>
      <c r="D87" s="25">
        <f t="shared" si="21"/>
        <v>29.249169267412043</v>
      </c>
      <c r="J87" s="25">
        <v>0.35</v>
      </c>
      <c r="K87" s="25">
        <f t="shared" si="18"/>
        <v>16.209246692712295</v>
      </c>
      <c r="L87" s="25">
        <f t="shared" si="19"/>
        <v>22.882071200076709</v>
      </c>
    </row>
    <row r="88" spans="2:12" x14ac:dyDescent="0.2">
      <c r="B88" s="25">
        <v>0.1825</v>
      </c>
      <c r="C88" s="25">
        <f t="shared" si="20"/>
        <v>25.521213547573549</v>
      </c>
      <c r="D88" s="25">
        <f t="shared" si="21"/>
        <v>29.411823155305626</v>
      </c>
      <c r="J88" s="25">
        <v>0.35499999999999998</v>
      </c>
      <c r="K88" s="25">
        <f t="shared" si="18"/>
        <v>16.48650414162956</v>
      </c>
      <c r="L88" s="25">
        <f t="shared" si="19"/>
        <v>23.066603130226191</v>
      </c>
    </row>
    <row r="89" spans="2:12" x14ac:dyDescent="0.2">
      <c r="B89" s="25">
        <v>0.185</v>
      </c>
      <c r="C89" s="25">
        <f t="shared" si="20"/>
        <v>25.791327188723116</v>
      </c>
      <c r="D89" s="25">
        <f t="shared" si="21"/>
        <v>29.574582709681138</v>
      </c>
      <c r="J89" s="25">
        <v>0.36</v>
      </c>
      <c r="K89" s="25">
        <f t="shared" si="18"/>
        <v>16.765555210993316</v>
      </c>
      <c r="L89" s="25">
        <f t="shared" si="19"/>
        <v>23.251489057001429</v>
      </c>
    </row>
    <row r="90" spans="2:12" x14ac:dyDescent="0.2">
      <c r="B90" s="25">
        <v>0.1875</v>
      </c>
      <c r="C90" s="25">
        <f t="shared" si="20"/>
        <v>26.063132264294367</v>
      </c>
      <c r="D90" s="25">
        <f t="shared" si="21"/>
        <v>29.737443080425521</v>
      </c>
      <c r="J90" s="25">
        <v>0.36499999999999999</v>
      </c>
      <c r="K90" s="25">
        <f t="shared" si="18"/>
        <v>17.046394231020159</v>
      </c>
      <c r="L90" s="25">
        <f t="shared" si="19"/>
        <v>23.436710535127538</v>
      </c>
    </row>
    <row r="91" spans="2:12" x14ac:dyDescent="0.2">
      <c r="B91" s="25">
        <v>0.19</v>
      </c>
      <c r="C91" s="25">
        <f t="shared" si="20"/>
        <v>26.336629848240516</v>
      </c>
      <c r="D91" s="25">
        <f t="shared" si="21"/>
        <v>29.900399435728943</v>
      </c>
      <c r="J91" s="25">
        <v>0.37</v>
      </c>
      <c r="K91" s="25">
        <f t="shared" si="18"/>
        <v>17.329015811613377</v>
      </c>
      <c r="L91" s="25">
        <f t="shared" si="19"/>
        <v>23.622249989273598</v>
      </c>
    </row>
    <row r="92" spans="2:12" x14ac:dyDescent="0.2">
      <c r="B92" s="25">
        <v>0.1925</v>
      </c>
      <c r="C92" s="25">
        <f t="shared" si="20"/>
        <v>26.611820833427316</v>
      </c>
      <c r="D92" s="25">
        <f t="shared" si="21"/>
        <v>30.063446962616254</v>
      </c>
      <c r="J92" s="25">
        <v>0.375</v>
      </c>
      <c r="K92" s="25">
        <f t="shared" si="18"/>
        <v>17.613414834663121</v>
      </c>
      <c r="L92" s="25">
        <f t="shared" si="19"/>
        <v>23.808090660954022</v>
      </c>
    </row>
    <row r="93" spans="2:12" x14ac:dyDescent="0.2">
      <c r="B93" s="25">
        <v>0.19500000000000001</v>
      </c>
      <c r="C93" s="25">
        <f t="shared" si="20"/>
        <v>26.888705930903441</v>
      </c>
      <c r="D93" s="25">
        <f t="shared" si="21"/>
        <v>30.226580867470801</v>
      </c>
      <c r="J93" s="25">
        <v>0.38</v>
      </c>
      <c r="K93" s="25">
        <f t="shared" si="18"/>
        <v>17.899586446244232</v>
      </c>
      <c r="L93" s="25">
        <f t="shared" si="19"/>
        <v>23.994216559211267</v>
      </c>
    </row>
    <row r="94" spans="2:12" x14ac:dyDescent="0.2">
      <c r="B94" s="25">
        <v>0.19750000000000001</v>
      </c>
      <c r="C94" s="25">
        <f t="shared" si="20"/>
        <v>27.167285669247189</v>
      </c>
      <c r="D94" s="25">
        <f t="shared" si="21"/>
        <v>30.389796376549839</v>
      </c>
      <c r="J94" s="25">
        <v>0.38500000000000001</v>
      </c>
      <c r="K94" s="25">
        <f t="shared" si="18"/>
        <v>18.187526048772302</v>
      </c>
      <c r="L94" s="25">
        <f t="shared" si="19"/>
        <v>24.180612414775908</v>
      </c>
    </row>
    <row r="95" spans="2:12" x14ac:dyDescent="0.2">
      <c r="B95" s="25">
        <v>0.2</v>
      </c>
      <c r="C95" s="25">
        <f t="shared" si="20"/>
        <v>27.447560393989541</v>
      </c>
      <c r="D95" s="25">
        <f t="shared" si="21"/>
        <v>30.553088736492157</v>
      </c>
      <c r="J95" s="25">
        <v>0.39</v>
      </c>
      <c r="K95" s="25">
        <f t="shared" si="18"/>
        <v>18.477229293168598</v>
      </c>
      <c r="L95" s="25">
        <f t="shared" si="19"/>
        <v>24.367263637427975</v>
      </c>
    </row>
    <row r="96" spans="2:12" x14ac:dyDescent="0.2">
      <c r="B96" s="25">
        <v>0.20250000000000001</v>
      </c>
      <c r="C96" s="25">
        <f t="shared" si="20"/>
        <v>27.729530267114622</v>
      </c>
      <c r="D96" s="25">
        <f t="shared" si="21"/>
        <v>30.716453214817321</v>
      </c>
      <c r="J96" s="25">
        <v>0.39500000000000002</v>
      </c>
      <c r="K96" s="25">
        <f t="shared" si="18"/>
        <v>18.768692071074724</v>
      </c>
      <c r="L96" s="25">
        <f t="shared" si="19"/>
        <v>24.554156276306045</v>
      </c>
    </row>
    <row r="97" spans="2:12" x14ac:dyDescent="0.2">
      <c r="B97" s="25">
        <v>0.20499999999999999</v>
      </c>
      <c r="C97" s="25">
        <f t="shared" si="20"/>
        <v>28.01319526663773</v>
      </c>
      <c r="D97" s="25">
        <f t="shared" si="21"/>
        <v>30.879885100416615</v>
      </c>
      <c r="J97" s="25">
        <v>0.4</v>
      </c>
      <c r="K97" s="25">
        <f t="shared" si="18"/>
        <v>19.061910507151985</v>
      </c>
      <c r="L97" s="25">
        <f t="shared" si="19"/>
        <v>24.741276982934274</v>
      </c>
    </row>
    <row r="98" spans="2:12" x14ac:dyDescent="0.2">
      <c r="B98" s="25">
        <v>0.20749999999999999</v>
      </c>
      <c r="C98" s="25">
        <f t="shared" si="20"/>
        <v>28.298555186261286</v>
      </c>
      <c r="D98" s="25">
        <f t="shared" si="21"/>
        <v>31.043379704035871</v>
      </c>
      <c r="J98" s="25">
        <v>0.40500000000000003</v>
      </c>
      <c r="K98" s="25">
        <f t="shared" si="18"/>
        <v>19.356880951491842</v>
      </c>
      <c r="L98" s="25">
        <f t="shared" si="19"/>
        <v>24.928612976756341</v>
      </c>
    </row>
    <row r="99" spans="2:12" x14ac:dyDescent="0.2">
      <c r="B99" s="25">
        <v>0.21</v>
      </c>
      <c r="C99" s="25">
        <f t="shared" si="20"/>
        <v>28.585609635109382</v>
      </c>
      <c r="D99" s="25">
        <f t="shared" si="21"/>
        <v>31.206932358749825</v>
      </c>
      <c r="J99" s="25">
        <v>0.41</v>
      </c>
      <c r="K99" s="25">
        <f t="shared" si="18"/>
        <v>19.653599972160901</v>
      </c>
      <c r="L99" s="25">
        <f t="shared" si="19"/>
        <v>25.116152012983861</v>
      </c>
    </row>
    <row r="100" spans="2:12" x14ac:dyDescent="0.2">
      <c r="B100" s="25">
        <v>0.21249999999999999</v>
      </c>
      <c r="C100" s="25">
        <f t="shared" si="20"/>
        <v>28.874358037540748</v>
      </c>
      <c r="D100" s="25">
        <f t="shared" si="21"/>
        <v>31.370538420427906</v>
      </c>
      <c r="J100" s="25">
        <v>0.41499999999999998</v>
      </c>
      <c r="K100" s="25">
        <f t="shared" si="18"/>
        <v>19.95206434789667</v>
      </c>
      <c r="L100" s="25">
        <f t="shared" si="19"/>
        <v>25.303882352582988</v>
      </c>
    </row>
    <row r="101" spans="2:12" x14ac:dyDescent="0.2">
      <c r="B101" s="25">
        <v>0.215</v>
      </c>
      <c r="C101" s="25">
        <f t="shared" si="20"/>
        <v>29.164799633040925</v>
      </c>
      <c r="D101" s="25">
        <f t="shared" si="21"/>
        <v>31.534193268191743</v>
      </c>
      <c r="J101" s="25">
        <v>0.42</v>
      </c>
      <c r="K101" s="25">
        <f t="shared" si="18"/>
        <v>20.252271060969139</v>
      </c>
      <c r="L101" s="25">
        <f t="shared" si="19"/>
        <v>25.491792734238018</v>
      </c>
    </row>
    <row r="102" spans="2:12" x14ac:dyDescent="0.2">
      <c r="B102" s="25">
        <v>0.2175</v>
      </c>
      <c r="C102" s="25">
        <f t="shared" si="20"/>
        <v>29.456933476193473</v>
      </c>
      <c r="D102" s="25">
        <f t="shared" si="21"/>
        <v>31.697892304864013</v>
      </c>
      <c r="J102" s="25">
        <v>0.42499999999999999</v>
      </c>
      <c r="K102" s="25">
        <f t="shared" si="18"/>
        <v>20.554217290217199</v>
      </c>
      <c r="L102" s="25">
        <f t="shared" si="19"/>
        <v>25.679872348143945</v>
      </c>
    </row>
    <row r="103" spans="2:12" x14ac:dyDescent="0.2">
      <c r="B103" s="25">
        <v>0.22</v>
      </c>
      <c r="C103" s="25">
        <f t="shared" si="20"/>
        <v>29.750758436730365</v>
      </c>
      <c r="D103" s="25">
        <f t="shared" si="21"/>
        <v>31.861630957408792</v>
      </c>
      <c r="J103" s="25">
        <v>0.43</v>
      </c>
      <c r="K103" s="25">
        <f t="shared" si="18"/>
        <v>20.857900404268406</v>
      </c>
      <c r="L103" s="25">
        <f t="shared" si="19"/>
        <v>25.868110811492663</v>
      </c>
    </row>
    <row r="104" spans="2:12" x14ac:dyDescent="0.2">
      <c r="B104" s="25">
        <v>0.2225</v>
      </c>
      <c r="C104" s="25">
        <f t="shared" si="20"/>
        <v>30.046273199662124</v>
      </c>
      <c r="D104" s="25">
        <f t="shared" si="21"/>
        <v>32.025404677363028</v>
      </c>
      <c r="J104" s="25">
        <v>0.435</v>
      </c>
      <c r="K104" s="25">
        <f t="shared" si="18"/>
        <v>21.163317954947193</v>
      </c>
      <c r="L104" s="25">
        <f t="shared" si="19"/>
        <v>26.056498145528245</v>
      </c>
    </row>
    <row r="105" spans="2:12" x14ac:dyDescent="0.2">
      <c r="B105" s="25">
        <v>0.22500000000000001</v>
      </c>
      <c r="C105" s="25">
        <f t="shared" si="20"/>
        <v>30.343476265487112</v>
      </c>
      <c r="D105" s="25">
        <f t="shared" si="21"/>
        <v>32.189208941259821</v>
      </c>
      <c r="J105" s="25">
        <v>0.44</v>
      </c>
      <c r="K105" s="25">
        <f t="shared" si="18"/>
        <v>21.470467670874388</v>
      </c>
      <c r="L105" s="25">
        <f t="shared" si="19"/>
        <v>26.245024754057191</v>
      </c>
    </row>
    <row r="106" spans="2:12" x14ac:dyDescent="0.2">
      <c r="B106" s="25">
        <v>0.22750000000000001</v>
      </c>
      <c r="C106" s="25">
        <f t="shared" si="20"/>
        <v>30.642365950480581</v>
      </c>
      <c r="D106" s="25">
        <f t="shared" si="21"/>
        <v>32.35303925104246</v>
      </c>
      <c r="J106" s="25">
        <v>0.44500000000000001</v>
      </c>
      <c r="K106" s="25">
        <f t="shared" si="18"/>
        <v>21.779347451260087</v>
      </c>
      <c r="L106" s="25">
        <f t="shared" si="19"/>
        <v>26.433681403308547</v>
      </c>
    </row>
    <row r="107" spans="2:12" x14ac:dyDescent="0.2">
      <c r="B107" s="25">
        <v>0.23</v>
      </c>
      <c r="C107" s="25">
        <f t="shared" si="20"/>
        <v>30.942940387062837</v>
      </c>
      <c r="D107" s="25">
        <f t="shared" si="21"/>
        <v>32.516891134470072</v>
      </c>
      <c r="J107" s="25">
        <v>0.45</v>
      </c>
      <c r="K107" s="25">
        <f t="shared" si="18"/>
        <v>22.089955359890077</v>
      </c>
      <c r="L107" s="25">
        <f t="shared" si="19"/>
        <v>26.622459203047512</v>
      </c>
    </row>
    <row r="108" spans="2:12" x14ac:dyDescent="0.2">
      <c r="B108" s="25">
        <v>0.23250000000000001</v>
      </c>
      <c r="C108" s="25">
        <f t="shared" si="20"/>
        <v>31.245197524247288</v>
      </c>
      <c r="D108" s="25">
        <f t="shared" si="21"/>
        <v>32.680760145514412</v>
      </c>
      <c r="J108" s="25">
        <v>0.45500000000000002</v>
      </c>
      <c r="K108" s="25">
        <f t="shared" si="18"/>
        <v>22.402289619304696</v>
      </c>
      <c r="L108" s="25">
        <f t="shared" si="19"/>
        <v>26.811349588853531</v>
      </c>
    </row>
    <row r="109" spans="2:12" x14ac:dyDescent="0.2">
      <c r="B109" s="25">
        <v>0.23499999999999999</v>
      </c>
      <c r="C109" s="25">
        <f t="shared" si="20"/>
        <v>31.549135128167016</v>
      </c>
      <c r="D109" s="25">
        <f t="shared" si="21"/>
        <v>32.8446418647478</v>
      </c>
      <c r="J109" s="25">
        <v>0.46</v>
      </c>
      <c r="K109" s="25">
        <f t="shared" si="18"/>
        <v>22.716348605168687</v>
      </c>
      <c r="L109" s="25">
        <f t="shared" si="19"/>
        <v>27.00034430548132</v>
      </c>
    </row>
    <row r="110" spans="2:12" x14ac:dyDescent="0.2">
      <c r="B110" s="25">
        <v>0.23749999999999999</v>
      </c>
      <c r="C110" s="25">
        <f t="shared" si="20"/>
        <v>31.85475078268102</v>
      </c>
      <c r="D110" s="25">
        <f t="shared" si="21"/>
        <v>33.008531899722286</v>
      </c>
      <c r="J110" s="25">
        <v>0.46500000000000002</v>
      </c>
      <c r="K110" s="25">
        <f t="shared" si="18"/>
        <v>23.0321308408292</v>
      </c>
      <c r="L110" s="25">
        <f t="shared" si="19"/>
        <v>27.189435391228869</v>
      </c>
    </row>
    <row r="111" spans="2:12" x14ac:dyDescent="0.2">
      <c r="B111" s="25">
        <v>0.24</v>
      </c>
      <c r="C111" s="25">
        <f t="shared" si="20"/>
        <v>32.162041890058866</v>
      </c>
      <c r="D111" s="25">
        <f t="shared" si="21"/>
        <v>33.172425885339962</v>
      </c>
      <c r="J111" s="25">
        <v>0.47</v>
      </c>
      <c r="K111" s="25">
        <f t="shared" si="18"/>
        <v>23.349634992058874</v>
      </c>
      <c r="L111" s="25">
        <f t="shared" si="19"/>
        <v>27.378615163243659</v>
      </c>
    </row>
    <row r="112" spans="2:12" x14ac:dyDescent="0.2">
      <c r="B112" s="25">
        <v>0.24249999999999999</v>
      </c>
      <c r="C112" s="25">
        <f t="shared" si="20"/>
        <v>32.471005671743939</v>
      </c>
      <c r="D112" s="25">
        <f t="shared" si="21"/>
        <v>33.336319484214428</v>
      </c>
      <c r="J112" s="25">
        <v>0.47499999999999998</v>
      </c>
      <c r="K112" s="25">
        <f t="shared" si="18"/>
        <v>23.668859861980284</v>
      </c>
      <c r="L112" s="25">
        <f t="shared" si="19"/>
        <v>27.56787620370222</v>
      </c>
    </row>
    <row r="113" spans="2:12" x14ac:dyDescent="0.2">
      <c r="B113" s="25">
        <v>0.245</v>
      </c>
      <c r="C113" s="25">
        <f t="shared" si="20"/>
        <v>32.781639169194854</v>
      </c>
      <c r="D113" s="25">
        <f t="shared" si="21"/>
        <v>33.50020838702342</v>
      </c>
      <c r="J113" s="25">
        <v>0.48</v>
      </c>
      <c r="K113" s="25">
        <f t="shared" si="18"/>
        <v>23.989804386167851</v>
      </c>
      <c r="L113" s="25">
        <f t="shared" si="19"/>
        <v>27.757211346804169</v>
      </c>
    </row>
    <row r="114" spans="2:12" x14ac:dyDescent="0.2">
      <c r="B114" s="25">
        <v>0.2475</v>
      </c>
      <c r="C114" s="25">
        <f t="shared" si="20"/>
        <v>33.093939244804687</v>
      </c>
      <c r="D114" s="25">
        <f t="shared" si="21"/>
        <v>33.664088312852385</v>
      </c>
      <c r="J114" s="25">
        <v>0.48499999999999999</v>
      </c>
      <c r="K114" s="25">
        <f t="shared" si="18"/>
        <v>24.312467627922295</v>
      </c>
      <c r="L114" s="25">
        <f t="shared" si="19"/>
        <v>27.946613666525629</v>
      </c>
    </row>
    <row r="115" spans="2:12" x14ac:dyDescent="0.2">
      <c r="B115" s="25">
        <v>0.25</v>
      </c>
      <c r="C115" s="25">
        <f t="shared" si="20"/>
        <v>33.407902582897435</v>
      </c>
      <c r="D115" s="25">
        <f t="shared" si="21"/>
        <v>33.827955009529376</v>
      </c>
      <c r="J115" s="25">
        <v>0.49</v>
      </c>
      <c r="K115" s="25">
        <f t="shared" ref="K115:K146" si="22">lookbackOptionCon($D$3,$D$4,$D$5,$D$6,$J115,$D$8,$D$10,$D$11)</f>
        <v>24.636848773714021</v>
      </c>
      <c r="L115" s="25">
        <f t="shared" ref="L115:L146" si="23">BS_call($D$3,$D$4,$D$5,$J115,$D$6,$D$8)</f>
        <v>28.13607646508185</v>
      </c>
    </row>
    <row r="116" spans="2:12" x14ac:dyDescent="0.2">
      <c r="B116" s="25">
        <v>0.2525</v>
      </c>
      <c r="C116" s="25">
        <f t="shared" si="20"/>
        <v>33.723525690801374</v>
      </c>
      <c r="D116" s="25">
        <f t="shared" si="21"/>
        <v>33.991804253951003</v>
      </c>
      <c r="J116" s="25">
        <v>0.495</v>
      </c>
      <c r="K116" s="25">
        <f t="shared" si="22"/>
        <v>24.962947128789519</v>
      </c>
      <c r="L116" s="25">
        <f t="shared" si="23"/>
        <v>28.325593262051711</v>
      </c>
    </row>
    <row r="117" spans="2:12" x14ac:dyDescent="0.2">
      <c r="B117" s="25">
        <v>0.255</v>
      </c>
      <c r="C117" s="25">
        <f t="shared" si="20"/>
        <v>34.040804899998939</v>
      </c>
      <c r="D117" s="25">
        <f t="shared" si="21"/>
        <v>34.155631852399353</v>
      </c>
      <c r="J117" s="25">
        <v>0.5</v>
      </c>
      <c r="K117" s="25">
        <f t="shared" si="22"/>
        <v>25.290762112937152</v>
      </c>
      <c r="L117" s="25">
        <f t="shared" si="23"/>
        <v>28.515157784120724</v>
      </c>
    </row>
    <row r="118" spans="2:12" x14ac:dyDescent="0.2">
      <c r="B118" s="25">
        <v>0.25750000000000001</v>
      </c>
      <c r="C118" s="25">
        <f t="shared" si="20"/>
        <v>34.359736367351914</v>
      </c>
      <c r="D118" s="25">
        <f t="shared" si="21"/>
        <v>34.319433640850121</v>
      </c>
      <c r="J118" s="25">
        <v>0.505</v>
      </c>
      <c r="K118" s="25">
        <f t="shared" si="22"/>
        <v>25.620293256406214</v>
      </c>
      <c r="L118" s="25">
        <f t="shared" si="23"/>
        <v>28.704763955402711</v>
      </c>
    </row>
    <row r="119" spans="2:12" x14ac:dyDescent="0.2">
      <c r="B119" s="25">
        <v>0.26</v>
      </c>
      <c r="C119" s="25">
        <f t="shared" si="20"/>
        <v>34.680316076402242</v>
      </c>
      <c r="D119" s="25">
        <f t="shared" si="21"/>
        <v>34.483205485271895</v>
      </c>
      <c r="J119" s="25">
        <v>0.51</v>
      </c>
      <c r="K119" s="25">
        <f t="shared" si="22"/>
        <v>25.95154019597517</v>
      </c>
      <c r="L119" s="25">
        <f t="shared" si="23"/>
        <v>28.894405888302487</v>
      </c>
    </row>
    <row r="120" spans="2:12" x14ac:dyDescent="0.2">
      <c r="B120" s="25">
        <v>0.26250000000000001</v>
      </c>
      <c r="C120" s="25">
        <f t="shared" si="20"/>
        <v>35.00253983874692</v>
      </c>
      <c r="D120" s="25">
        <f t="shared" si="21"/>
        <v>34.646943281916464</v>
      </c>
      <c r="J120" s="25">
        <v>0.51500000000000001</v>
      </c>
      <c r="K120" s="25">
        <f t="shared" si="22"/>
        <v>26.284502671164155</v>
      </c>
      <c r="L120" s="25">
        <f t="shared" si="23"/>
        <v>29.084077874885111</v>
      </c>
    </row>
    <row r="121" spans="2:12" x14ac:dyDescent="0.2">
      <c r="B121" s="25">
        <v>0.26500000000000001</v>
      </c>
      <c r="C121" s="25">
        <f t="shared" si="20"/>
        <v>35.326403295486884</v>
      </c>
      <c r="D121" s="25">
        <f t="shared" si="21"/>
        <v>34.810642957600251</v>
      </c>
      <c r="J121" s="25">
        <v>0.52</v>
      </c>
      <c r="K121" s="25">
        <f t="shared" si="22"/>
        <v>26.61918052058612</v>
      </c>
      <c r="L121" s="25">
        <f t="shared" si="23"/>
        <v>29.273774378719473</v>
      </c>
    </row>
    <row r="122" spans="2:12" x14ac:dyDescent="0.2">
      <c r="B122" s="25">
        <v>0.26750000000000002</v>
      </c>
      <c r="C122" s="25">
        <f t="shared" si="20"/>
        <v>35.651901918748678</v>
      </c>
      <c r="D122" s="25">
        <f t="shared" si="21"/>
        <v>34.974300469976981</v>
      </c>
      <c r="J122" s="25">
        <v>0.52500000000000002</v>
      </c>
      <c r="K122" s="25">
        <f t="shared" si="22"/>
        <v>26.955573678432597</v>
      </c>
      <c r="L122" s="25">
        <f t="shared" si="23"/>
        <v>29.4634900271666</v>
      </c>
    </row>
    <row r="123" spans="2:12" x14ac:dyDescent="0.2">
      <c r="B123" s="25">
        <v>0.27</v>
      </c>
      <c r="C123" s="25">
        <f t="shared" si="20"/>
        <v>35.979031013278494</v>
      </c>
      <c r="D123" s="25">
        <f t="shared" si="21"/>
        <v>35.137911807801416</v>
      </c>
      <c r="J123" s="25">
        <v>0.53</v>
      </c>
      <c r="K123" s="25">
        <f t="shared" si="22"/>
        <v>27.293682171088903</v>
      </c>
      <c r="L123" s="25">
        <f t="shared" si="23"/>
        <v>29.653219604084804</v>
      </c>
    </row>
    <row r="124" spans="2:12" x14ac:dyDescent="0.2">
      <c r="B124" s="25">
        <v>0.27250000000000002</v>
      </c>
      <c r="C124" s="25">
        <f t="shared" si="20"/>
        <v>36.307785718107354</v>
      </c>
      <c r="D124" s="25">
        <f t="shared" si="21"/>
        <v>35.301472991184198</v>
      </c>
      <c r="J124" s="25">
        <v>0.53500000000000003</v>
      </c>
      <c r="K124" s="25">
        <f t="shared" si="22"/>
        <v>27.633506113874564</v>
      </c>
      <c r="L124" s="25">
        <f t="shared" si="23"/>
        <v>29.842958042925822</v>
      </c>
    </row>
    <row r="125" spans="2:12" x14ac:dyDescent="0.2">
      <c r="B125" s="25">
        <v>0.27500000000000002</v>
      </c>
      <c r="C125" s="25">
        <f t="shared" si="20"/>
        <v>36.638161008287064</v>
      </c>
      <c r="D125" s="25">
        <f t="shared" si="21"/>
        <v>35.464980071838156</v>
      </c>
      <c r="J125" s="25">
        <v>0.54</v>
      </c>
      <c r="K125" s="25">
        <f t="shared" si="22"/>
        <v>27.975045707903575</v>
      </c>
      <c r="L125" s="25">
        <f t="shared" si="23"/>
        <v>30.032700420198154</v>
      </c>
    </row>
    <row r="126" spans="2:12" x14ac:dyDescent="0.2">
      <c r="B126" s="25">
        <v>0.27750000000000002</v>
      </c>
      <c r="C126" s="25">
        <f t="shared" si="20"/>
        <v>36.970151696695062</v>
      </c>
      <c r="D126" s="25">
        <f t="shared" si="21"/>
        <v>35.628429133315592</v>
      </c>
      <c r="J126" s="25">
        <v>0.54500000000000004</v>
      </c>
      <c r="K126" s="25">
        <f t="shared" si="22"/>
        <v>28.318301237060854</v>
      </c>
      <c r="L126" s="25">
        <f t="shared" si="23"/>
        <v>30.22244194927508</v>
      </c>
    </row>
    <row r="127" spans="2:12" x14ac:dyDescent="0.2">
      <c r="B127" s="25">
        <v>0.28000000000000003</v>
      </c>
      <c r="C127" s="25">
        <f t="shared" si="20"/>
        <v>37.303752435908599</v>
      </c>
      <c r="D127" s="25">
        <f t="shared" si="21"/>
        <v>35.791816291236756</v>
      </c>
      <c r="J127" s="25">
        <v>0.55000000000000004</v>
      </c>
      <c r="K127" s="25">
        <f t="shared" si="22"/>
        <v>28.663273065090696</v>
      </c>
      <c r="L127" s="25">
        <f t="shared" si="23"/>
        <v>30.412177974526671</v>
      </c>
    </row>
    <row r="128" spans="2:12" x14ac:dyDescent="0.2">
      <c r="B128" s="25">
        <v>0.28249999999999997</v>
      </c>
      <c r="C128" s="25">
        <f t="shared" si="20"/>
        <v>37.638957720145818</v>
      </c>
      <c r="D128" s="25">
        <f t="shared" si="21"/>
        <v>35.955137693509968</v>
      </c>
      <c r="J128" s="25">
        <v>0.55500000000000005</v>
      </c>
      <c r="K128" s="25">
        <f t="shared" si="22"/>
        <v>29.009961632791683</v>
      </c>
      <c r="L128" s="25">
        <f t="shared" si="23"/>
        <v>30.601903965756222</v>
      </c>
    </row>
    <row r="129" spans="2:12" x14ac:dyDescent="0.2">
      <c r="B129" s="25">
        <v>0.28499999999999998</v>
      </c>
      <c r="C129" s="25">
        <f t="shared" si="20"/>
        <v>37.975761887273734</v>
      </c>
      <c r="D129" s="25">
        <f t="shared" si="21"/>
        <v>36.118389520542593</v>
      </c>
      <c r="J129" s="25">
        <v>0.56000000000000005</v>
      </c>
      <c r="K129" s="25">
        <f t="shared" si="22"/>
        <v>29.358367455316017</v>
      </c>
      <c r="L129" s="25">
        <f t="shared" si="23"/>
        <v>30.791615512923237</v>
      </c>
    </row>
    <row r="130" spans="2:12" x14ac:dyDescent="0.2">
      <c r="B130" s="25">
        <v>0.28749999999999998</v>
      </c>
      <c r="C130" s="25">
        <f t="shared" si="20"/>
        <v>38.314159120881143</v>
      </c>
      <c r="D130" s="25">
        <f t="shared" si="21"/>
        <v>36.281567985443644</v>
      </c>
      <c r="J130" s="25">
        <v>0.56499999999999995</v>
      </c>
      <c r="K130" s="25">
        <f t="shared" si="22"/>
        <v>29.708491119567341</v>
      </c>
      <c r="L130" s="25">
        <f t="shared" si="23"/>
        <v>30.981308321135906</v>
      </c>
    </row>
    <row r="131" spans="2:12" x14ac:dyDescent="0.2">
      <c r="B131" s="25">
        <v>0.28999999999999998</v>
      </c>
      <c r="C131" s="25">
        <f t="shared" si="20"/>
        <v>38.654143452416321</v>
      </c>
      <c r="D131" s="25">
        <f t="shared" si="21"/>
        <v>36.444669334217821</v>
      </c>
      <c r="J131" s="25">
        <v>0.56999999999999995</v>
      </c>
      <c r="K131" s="25">
        <f t="shared" si="22"/>
        <v>30.060333281694565</v>
      </c>
      <c r="L131" s="25">
        <f t="shared" si="23"/>
        <v>31.17097820589737</v>
      </c>
    </row>
    <row r="132" spans="2:12" x14ac:dyDescent="0.2">
      <c r="B132" s="25">
        <v>0.29249999999999998</v>
      </c>
      <c r="C132" s="25">
        <f t="shared" si="20"/>
        <v>38.995708763387412</v>
      </c>
      <c r="D132" s="25">
        <f t="shared" si="21"/>
        <v>36.607689845950674</v>
      </c>
      <c r="J132" s="25">
        <v>0.57499999999999996</v>
      </c>
      <c r="K132" s="25">
        <f t="shared" si="22"/>
        <v>30.413894664677613</v>
      </c>
      <c r="L132" s="25">
        <f t="shared" si="23"/>
        <v>31.360621088590975</v>
      </c>
    </row>
    <row r="133" spans="2:12" x14ac:dyDescent="0.2">
      <c r="B133" s="25">
        <v>0.29499999999999998</v>
      </c>
      <c r="C133" s="25">
        <f t="shared" si="20"/>
        <v>39.338848787624855</v>
      </c>
      <c r="D133" s="25">
        <f t="shared" si="21"/>
        <v>36.770625832985601</v>
      </c>
      <c r="J133" s="25">
        <v>0.57999999999999996</v>
      </c>
      <c r="K133" s="25">
        <f t="shared" si="22"/>
        <v>30.7691760560012</v>
      </c>
      <c r="L133" s="25">
        <f t="shared" si="23"/>
        <v>31.550232992190949</v>
      </c>
    </row>
    <row r="134" spans="2:12" x14ac:dyDescent="0.2">
      <c r="B134" s="25">
        <v>0.29749999999999999</v>
      </c>
      <c r="C134" s="25">
        <f t="shared" si="20"/>
        <v>39.683557113604564</v>
      </c>
      <c r="D134" s="25">
        <f t="shared" si="21"/>
        <v>36.933473641091993</v>
      </c>
      <c r="J134" s="25">
        <v>0.58499999999999996</v>
      </c>
      <c r="K134" s="25">
        <f t="shared" si="22"/>
        <v>31.126178305413678</v>
      </c>
      <c r="L134" s="25">
        <f t="shared" si="23"/>
        <v>31.739810037185315</v>
      </c>
    </row>
    <row r="135" spans="2:12" x14ac:dyDescent="0.2">
      <c r="B135" s="25">
        <v>0.3</v>
      </c>
      <c r="C135" s="25">
        <f t="shared" si="20"/>
        <v>40.029827186830197</v>
      </c>
      <c r="D135" s="25">
        <f t="shared" si="21"/>
        <v>37.0962296496253</v>
      </c>
      <c r="J135" s="25">
        <v>0.59</v>
      </c>
      <c r="K135" s="25">
        <f t="shared" si="22"/>
        <v>31.484902322767088</v>
      </c>
      <c r="L135" s="25">
        <f t="shared" si="23"/>
        <v>31.929348437699225</v>
      </c>
    </row>
    <row r="136" spans="2:12" x14ac:dyDescent="0.2">
      <c r="B136" s="25">
        <v>0.30249999999999999</v>
      </c>
      <c r="C136" s="25">
        <f t="shared" si="20"/>
        <v>40.377652312273888</v>
      </c>
      <c r="D136" s="25">
        <f t="shared" si="21"/>
        <v>37.25889027167841</v>
      </c>
      <c r="J136" s="25">
        <v>0.59499999999999997</v>
      </c>
      <c r="K136" s="25">
        <f t="shared" si="22"/>
        <v>31.845349075936578</v>
      </c>
      <c r="L136" s="25">
        <f t="shared" si="23"/>
        <v>32.118844497807473</v>
      </c>
    </row>
    <row r="137" spans="2:12" x14ac:dyDescent="0.2">
      <c r="B137" s="25">
        <v>0.30499999999999999</v>
      </c>
      <c r="C137" s="25">
        <f t="shared" si="20"/>
        <v>40.727025656873373</v>
      </c>
      <c r="D137" s="25">
        <f t="shared" si="21"/>
        <v>37.42145195422485</v>
      </c>
      <c r="J137" s="25">
        <v>0.6</v>
      </c>
      <c r="K137" s="25">
        <f t="shared" si="22"/>
        <v>32.207519588813511</v>
      </c>
      <c r="L137" s="25">
        <f t="shared" si="23"/>
        <v>32.308294608025307</v>
      </c>
    </row>
    <row r="138" spans="2:12" x14ac:dyDescent="0.2">
      <c r="B138" s="25">
        <v>0.3075</v>
      </c>
      <c r="C138" s="25">
        <f t="shared" si="20"/>
        <v>41.077940252084723</v>
      </c>
      <c r="D138" s="25">
        <f t="shared" si="21"/>
        <v>37.583911178253729</v>
      </c>
      <c r="J138" s="25">
        <v>0.60499999999999998</v>
      </c>
      <c r="K138" s="25">
        <f t="shared" si="22"/>
        <v>32.571414939372552</v>
      </c>
      <c r="L138" s="25">
        <f t="shared" si="23"/>
        <v>32.49769524196801</v>
      </c>
    </row>
    <row r="139" spans="2:12" x14ac:dyDescent="0.2">
      <c r="B139" s="25">
        <v>0.31</v>
      </c>
      <c r="C139" s="25">
        <f t="shared" si="20"/>
        <v>41.430388996488993</v>
      </c>
      <c r="D139" s="25">
        <f t="shared" si="21"/>
        <v>37.746264458896263</v>
      </c>
      <c r="J139" s="25">
        <v>0.61</v>
      </c>
      <c r="K139" s="25">
        <f t="shared" si="22"/>
        <v>32.937036257807073</v>
      </c>
      <c r="L139" s="25">
        <f t="shared" si="23"/>
        <v>32.687042953169836</v>
      </c>
    </row>
    <row r="140" spans="2:12" x14ac:dyDescent="0.2">
      <c r="B140" s="25">
        <v>0.3125</v>
      </c>
      <c r="C140" s="25">
        <f t="shared" si="20"/>
        <v>41.784364658451345</v>
      </c>
      <c r="D140" s="25">
        <f t="shared" si="21"/>
        <v>37.908508345544433</v>
      </c>
      <c r="J140" s="25">
        <v>0.61499999999999999</v>
      </c>
      <c r="K140" s="25">
        <f t="shared" si="22"/>
        <v>33.304384724731975</v>
      </c>
      <c r="L140" s="25">
        <f t="shared" si="23"/>
        <v>32.876334372053371</v>
      </c>
    </row>
    <row r="141" spans="2:12" x14ac:dyDescent="0.2">
      <c r="B141" s="25">
        <v>0.315</v>
      </c>
      <c r="C141" s="25">
        <f t="shared" si="20"/>
        <v>42.139859878831452</v>
      </c>
      <c r="D141" s="25">
        <f t="shared" si="21"/>
        <v>38.070639421961161</v>
      </c>
      <c r="J141" s="25">
        <v>0.62</v>
      </c>
      <c r="K141" s="25">
        <f t="shared" si="22"/>
        <v>33.673461569450204</v>
      </c>
      <c r="L141" s="25">
        <f t="shared" si="23"/>
        <v>33.065566203041577</v>
      </c>
    </row>
    <row r="142" spans="2:12" x14ac:dyDescent="0.2">
      <c r="B142" s="25">
        <v>0.3175</v>
      </c>
      <c r="C142" s="25">
        <f t="shared" si="20"/>
        <v>42.49686717374334</v>
      </c>
      <c r="D142" s="25">
        <f t="shared" si="21"/>
        <v>38.232654306382841</v>
      </c>
      <c r="J142" s="25">
        <v>0.625</v>
      </c>
      <c r="K142" s="25">
        <f t="shared" si="22"/>
        <v>34.044268068281298</v>
      </c>
      <c r="L142" s="25">
        <f t="shared" si="23"/>
        <v>33.254735221804495</v>
      </c>
    </row>
    <row r="143" spans="2:12" x14ac:dyDescent="0.2">
      <c r="B143" s="25">
        <v>0.32</v>
      </c>
      <c r="C143" s="25">
        <f t="shared" si="20"/>
        <v>42.855378937363483</v>
      </c>
      <c r="D143" s="25">
        <f t="shared" si="21"/>
        <v>38.39454965161363</v>
      </c>
      <c r="J143" s="25">
        <v>0.63</v>
      </c>
      <c r="K143" s="25">
        <f t="shared" si="22"/>
        <v>34.416805542949184</v>
      </c>
      <c r="L143" s="25">
        <f t="shared" si="23"/>
        <v>33.443838272633464</v>
      </c>
    </row>
    <row r="144" spans="2:12" x14ac:dyDescent="0.2">
      <c r="B144" s="25">
        <v>0.32250000000000001</v>
      </c>
      <c r="C144" s="25">
        <f t="shared" si="20"/>
        <v>43.215387444785378</v>
      </c>
      <c r="D144" s="25">
        <f t="shared" si="21"/>
        <v>38.556322145111878</v>
      </c>
      <c r="J144" s="25">
        <v>0.63500000000000001</v>
      </c>
      <c r="K144" s="25">
        <f t="shared" si="22"/>
        <v>34.791075359026216</v>
      </c>
      <c r="L144" s="25">
        <f t="shared" si="23"/>
        <v>33.632872265936385</v>
      </c>
    </row>
    <row r="145" spans="2:12" x14ac:dyDescent="0.2">
      <c r="B145" s="25">
        <v>0.32500000000000001</v>
      </c>
      <c r="C145" s="25">
        <f t="shared" si="20"/>
        <v>43.57688485491942</v>
      </c>
      <c r="D145" s="25">
        <f t="shared" si="21"/>
        <v>38.717968509068669</v>
      </c>
      <c r="J145" s="25">
        <v>0.64</v>
      </c>
      <c r="K145" s="25">
        <f t="shared" si="22"/>
        <v>35.167078924432552</v>
      </c>
      <c r="L145" s="25">
        <f t="shared" si="23"/>
        <v>33.821834175847151</v>
      </c>
    </row>
    <row r="146" spans="2:12" x14ac:dyDescent="0.2">
      <c r="B146" s="25">
        <v>0.32750000000000001</v>
      </c>
      <c r="C146" s="25">
        <f t="shared" si="20"/>
        <v>43.939863213435764</v>
      </c>
      <c r="D146" s="25">
        <f t="shared" si="21"/>
        <v>38.879485500478893</v>
      </c>
      <c r="J146" s="25">
        <v>0.64500000000000002</v>
      </c>
      <c r="K146" s="25">
        <f t="shared" si="22"/>
        <v>35.544817687987752</v>
      </c>
      <c r="L146" s="25">
        <f t="shared" si="23"/>
        <v>34.01072103794364</v>
      </c>
    </row>
    <row r="147" spans="2:12" x14ac:dyDescent="0.2">
      <c r="B147" s="25">
        <v>0.33</v>
      </c>
      <c r="C147" s="25">
        <f t="shared" si="20"/>
        <v>44.304314455749683</v>
      </c>
      <c r="D147" s="25">
        <f t="shared" si="21"/>
        <v>39.040869911204112</v>
      </c>
      <c r="J147" s="25">
        <v>0.65</v>
      </c>
      <c r="K147" s="25">
        <f t="shared" ref="K147:K157" si="24">lookbackOptionCon($D$3,$D$4,$D$5,$D$6,$J147,$D$8,$D$10,$D$11)</f>
        <v>35.924293138012864</v>
      </c>
      <c r="L147" s="25">
        <f t="shared" ref="L147:L157" si="25">BS_call($D$3,$D$4,$D$5,$J147,$D$6,$D$8)</f>
        <v>34.199529947068619</v>
      </c>
    </row>
    <row r="148" spans="2:12" x14ac:dyDescent="0.2">
      <c r="B148" s="25">
        <v>0.33250000000000002</v>
      </c>
      <c r="C148" s="25">
        <f t="shared" ref="C148:C175" si="26">lookbackOptionCon($D$3,$D$4,$B148,$D$6,$D$7,$D$8,$D$10,$D$11)</f>
        <v>44.670230410046521</v>
      </c>
      <c r="D148" s="25">
        <f t="shared" ref="D148:D175" si="27">BS_call($D$3,$D$4,$B148,$D$7,$D$6,$D$8)</f>
        <v>39.202118568028226</v>
      </c>
      <c r="J148" s="25">
        <v>0.65500000000000003</v>
      </c>
      <c r="K148" s="25">
        <f t="shared" si="24"/>
        <v>36.305506800981178</v>
      </c>
      <c r="L148" s="25">
        <f t="shared" si="25"/>
        <v>34.388258055248002</v>
      </c>
    </row>
    <row r="149" spans="2:12" x14ac:dyDescent="0.2">
      <c r="B149" s="25">
        <v>0.33500000000000002</v>
      </c>
      <c r="C149" s="25">
        <f t="shared" si="26"/>
        <v>45.037602800345972</v>
      </c>
      <c r="D149" s="25">
        <f t="shared" si="27"/>
        <v>39.36322833270539</v>
      </c>
      <c r="J149" s="25">
        <v>0.66</v>
      </c>
      <c r="K149" s="25">
        <f t="shared" si="24"/>
        <v>36.688460240215235</v>
      </c>
      <c r="L149" s="25">
        <f t="shared" si="25"/>
        <v>34.576902569701666</v>
      </c>
    </row>
    <row r="150" spans="2:12" x14ac:dyDescent="0.2">
      <c r="B150" s="25">
        <v>0.33750000000000002</v>
      </c>
      <c r="C150" s="25">
        <f t="shared" si="26"/>
        <v>45.406423249602767</v>
      </c>
      <c r="D150" s="25">
        <f t="shared" si="27"/>
        <v>39.524196102000545</v>
      </c>
      <c r="J150" s="25">
        <v>0.66500000000000004</v>
      </c>
      <c r="K150" s="25">
        <f t="shared" si="24"/>
        <v>37.073155054628984</v>
      </c>
      <c r="L150" s="25">
        <f t="shared" si="25"/>
        <v>34.765460750942154</v>
      </c>
    </row>
    <row r="151" spans="2:12" x14ac:dyDescent="0.2">
      <c r="B151" s="25">
        <v>0.34</v>
      </c>
      <c r="C151" s="25">
        <f t="shared" si="26"/>
        <v>45.776683282842917</v>
      </c>
      <c r="D151" s="25">
        <f t="shared" si="27"/>
        <v>39.685018807722415</v>
      </c>
      <c r="J151" s="25">
        <v>0.67</v>
      </c>
      <c r="K151" s="25">
        <f t="shared" si="24"/>
        <v>37.45959287751262</v>
      </c>
      <c r="L151" s="25">
        <f t="shared" si="25"/>
        <v>34.953929910956724</v>
      </c>
    </row>
    <row r="152" spans="2:12" x14ac:dyDescent="0.2">
      <c r="B152" s="25">
        <v>0.34250000000000003</v>
      </c>
      <c r="C152" s="25">
        <f t="shared" si="26"/>
        <v>46.148374330333638</v>
      </c>
      <c r="D152" s="25">
        <f t="shared" si="27"/>
        <v>39.845693416749441</v>
      </c>
      <c r="J152" s="25">
        <v>0.67500000000000004</v>
      </c>
      <c r="K152" s="25">
        <f t="shared" si="24"/>
        <v>37.847775375359632</v>
      </c>
      <c r="L152" s="25">
        <f t="shared" si="25"/>
        <v>35.142307411468401</v>
      </c>
    </row>
    <row r="153" spans="2:12" x14ac:dyDescent="0.2">
      <c r="B153" s="25">
        <v>0.34499999999999997</v>
      </c>
      <c r="C153" s="25">
        <f t="shared" si="26"/>
        <v>46.521487730785289</v>
      </c>
      <c r="D153" s="25">
        <f t="shared" si="27"/>
        <v>40.006216931048229</v>
      </c>
      <c r="J153" s="25">
        <v>0.68</v>
      </c>
      <c r="K153" s="25">
        <f t="shared" si="24"/>
        <v>38.237704246732505</v>
      </c>
      <c r="L153" s="25">
        <f t="shared" si="25"/>
        <v>35.330590662272627</v>
      </c>
    </row>
    <row r="154" spans="2:12" x14ac:dyDescent="0.2">
      <c r="B154" s="25">
        <v>0.34749999999999998</v>
      </c>
      <c r="C154" s="25">
        <f t="shared" si="26"/>
        <v>46.896014734583218</v>
      </c>
      <c r="D154" s="25">
        <f t="shared" si="27"/>
        <v>40.166586387684973</v>
      </c>
      <c r="J154" s="25">
        <v>0.68500000000000005</v>
      </c>
      <c r="K154" s="25">
        <f t="shared" si="24"/>
        <v>38.629381221167606</v>
      </c>
      <c r="L154" s="25">
        <f t="shared" si="25"/>
        <v>35.518777119645023</v>
      </c>
    </row>
    <row r="155" spans="2:12" x14ac:dyDescent="0.2">
      <c r="B155" s="25">
        <v>0.35</v>
      </c>
      <c r="C155" s="25">
        <f t="shared" si="26"/>
        <v>47.271946507048597</v>
      </c>
      <c r="D155" s="25">
        <f t="shared" si="27"/>
        <v>40.326798858829818</v>
      </c>
      <c r="J155" s="25">
        <v>0.69</v>
      </c>
      <c r="K155" s="25">
        <f t="shared" si="24"/>
        <v>39.022808058116503</v>
      </c>
      <c r="L155" s="25">
        <f t="shared" si="25"/>
        <v>35.70686428481747</v>
      </c>
    </row>
    <row r="156" spans="2:12" x14ac:dyDescent="0.2">
      <c r="B156" s="25">
        <v>0.35249999999999998</v>
      </c>
      <c r="C156" s="25">
        <f t="shared" si="26"/>
        <v>47.649274131725655</v>
      </c>
      <c r="D156" s="25">
        <f t="shared" si="27"/>
        <v>40.486851451754255</v>
      </c>
      <c r="J156" s="25">
        <v>0.69499999999999995</v>
      </c>
      <c r="K156" s="25">
        <f t="shared" si="24"/>
        <v>39.41798654592246</v>
      </c>
      <c r="L156" s="25">
        <f t="shared" si="25"/>
        <v>35.89484970251867</v>
      </c>
    </row>
    <row r="157" spans="2:12" x14ac:dyDescent="0.2">
      <c r="B157" s="25">
        <v>0.35499999999999998</v>
      </c>
      <c r="C157" s="25">
        <f t="shared" si="26"/>
        <v>48.027988613694305</v>
      </c>
      <c r="D157" s="25">
        <f t="shared" si="27"/>
        <v>40.646741308821575</v>
      </c>
      <c r="J157" s="25">
        <v>0.7</v>
      </c>
      <c r="K157" s="25">
        <f t="shared" si="24"/>
        <v>39.814918500832157</v>
      </c>
      <c r="L157" s="25">
        <f t="shared" si="25"/>
        <v>36.082730959576296</v>
      </c>
    </row>
    <row r="158" spans="2:12" x14ac:dyDescent="0.2">
      <c r="B158" s="25">
        <v>0.35749999999999998</v>
      </c>
      <c r="C158" s="25">
        <f t="shared" si="26"/>
        <v>48.408080882905928</v>
      </c>
      <c r="D158" s="25">
        <f t="shared" si="27"/>
        <v>40.806465607470521</v>
      </c>
    </row>
    <row r="159" spans="2:12" x14ac:dyDescent="0.2">
      <c r="B159" s="25">
        <v>0.36</v>
      </c>
      <c r="C159" s="25">
        <f t="shared" si="26"/>
        <v>48.789541797540913</v>
      </c>
      <c r="D159" s="25">
        <f t="shared" si="27"/>
        <v>40.966021560192331</v>
      </c>
    </row>
    <row r="160" spans="2:12" x14ac:dyDescent="0.2">
      <c r="B160" s="25">
        <v>0.36249999999999999</v>
      </c>
      <c r="C160" s="25">
        <f t="shared" si="26"/>
        <v>49.172362147385762</v>
      </c>
      <c r="D160" s="25">
        <f t="shared" si="27"/>
        <v>41.125406414501072</v>
      </c>
    </row>
    <row r="161" spans="2:4" x14ac:dyDescent="0.2">
      <c r="B161" s="25">
        <v>0.36499999999999999</v>
      </c>
      <c r="C161" s="25">
        <f t="shared" si="26"/>
        <v>49.556532657228587</v>
      </c>
      <c r="D161" s="25">
        <f t="shared" si="27"/>
        <v>41.284617452897457</v>
      </c>
    </row>
    <row r="162" spans="2:4" x14ac:dyDescent="0.2">
      <c r="B162" s="25">
        <v>0.36749999999999999</v>
      </c>
      <c r="C162" s="25">
        <f t="shared" si="26"/>
        <v>49.942043990270868</v>
      </c>
      <c r="D162" s="25">
        <f t="shared" si="27"/>
        <v>41.443651992826204</v>
      </c>
    </row>
    <row r="163" spans="2:4" x14ac:dyDescent="0.2">
      <c r="B163" s="25">
        <v>0.37</v>
      </c>
      <c r="C163" s="25">
        <f t="shared" si="26"/>
        <v>50.328886751553647</v>
      </c>
      <c r="D163" s="25">
        <f t="shared" si="27"/>
        <v>41.602507386627181</v>
      </c>
    </row>
    <row r="164" spans="2:4" x14ac:dyDescent="0.2">
      <c r="B164" s="25">
        <v>0.3725</v>
      </c>
      <c r="C164" s="25">
        <f t="shared" si="26"/>
        <v>50.717051491396681</v>
      </c>
      <c r="D164" s="25">
        <f t="shared" si="27"/>
        <v>41.761181021480148</v>
      </c>
    </row>
    <row r="165" spans="2:4" x14ac:dyDescent="0.2">
      <c r="B165" s="25">
        <v>0.375</v>
      </c>
      <c r="C165" s="25">
        <f t="shared" si="26"/>
        <v>51.106528708848813</v>
      </c>
      <c r="D165" s="25">
        <f t="shared" si="27"/>
        <v>41.919670319343432</v>
      </c>
    </row>
    <row r="166" spans="2:4" x14ac:dyDescent="0.2">
      <c r="B166" s="25">
        <v>0.3775</v>
      </c>
      <c r="C166" s="25">
        <f t="shared" si="26"/>
        <v>51.49730885514731</v>
      </c>
      <c r="D166" s="25">
        <f t="shared" si="27"/>
        <v>42.077972736886565</v>
      </c>
    </row>
    <row r="167" spans="2:4" x14ac:dyDescent="0.2">
      <c r="B167" s="25">
        <v>0.38</v>
      </c>
      <c r="C167" s="25">
        <f t="shared" si="26"/>
        <v>51.88938233718509</v>
      </c>
      <c r="D167" s="25">
        <f t="shared" si="27"/>
        <v>42.236085765416867</v>
      </c>
    </row>
    <row r="168" spans="2:4" x14ac:dyDescent="0.2">
      <c r="B168" s="25">
        <v>0.38250000000000001</v>
      </c>
      <c r="C168" s="25">
        <f t="shared" si="26"/>
        <v>52.282739520983647</v>
      </c>
      <c r="D168" s="25">
        <f t="shared" si="27"/>
        <v>42.394006930800344</v>
      </c>
    </row>
    <row r="169" spans="2:4" x14ac:dyDescent="0.2">
      <c r="B169" s="25">
        <v>0.38500000000000001</v>
      </c>
      <c r="C169" s="25">
        <f t="shared" si="26"/>
        <v>52.67737073517025</v>
      </c>
      <c r="D169" s="25">
        <f t="shared" si="27"/>
        <v>42.551733793376656</v>
      </c>
    </row>
    <row r="170" spans="2:4" x14ac:dyDescent="0.2">
      <c r="B170" s="25">
        <v>0.38750000000000001</v>
      </c>
      <c r="C170" s="25">
        <f t="shared" si="26"/>
        <v>53.073266274457175</v>
      </c>
      <c r="D170" s="25">
        <f t="shared" si="27"/>
        <v>42.709263947868521</v>
      </c>
    </row>
    <row r="171" spans="2:4" x14ac:dyDescent="0.2">
      <c r="B171" s="25">
        <v>0.39</v>
      </c>
      <c r="C171" s="25">
        <f t="shared" si="26"/>
        <v>53.470416403121945</v>
      </c>
      <c r="D171" s="25">
        <f t="shared" si="27"/>
        <v>42.866595023285527</v>
      </c>
    </row>
    <row r="172" spans="2:4" x14ac:dyDescent="0.2">
      <c r="B172" s="25">
        <v>0.39250000000000002</v>
      </c>
      <c r="C172" s="25">
        <f t="shared" si="26"/>
        <v>53.868811358486411</v>
      </c>
      <c r="D172" s="25">
        <f t="shared" si="27"/>
        <v>43.023724682822497</v>
      </c>
    </row>
    <row r="173" spans="2:4" x14ac:dyDescent="0.2">
      <c r="B173" s="25">
        <v>0.39500000000000002</v>
      </c>
      <c r="C173" s="25">
        <f t="shared" si="26"/>
        <v>54.268441354392948</v>
      </c>
      <c r="D173" s="25">
        <f t="shared" si="27"/>
        <v>43.180650623752491</v>
      </c>
    </row>
    <row r="174" spans="2:4" x14ac:dyDescent="0.2">
      <c r="B174" s="25">
        <v>0.39750000000000002</v>
      </c>
      <c r="C174" s="25">
        <f t="shared" si="26"/>
        <v>54.669296584676516</v>
      </c>
      <c r="D174" s="25">
        <f t="shared" si="27"/>
        <v>43.337370577314523</v>
      </c>
    </row>
    <row r="175" spans="2:4" x14ac:dyDescent="0.2">
      <c r="B175" s="25">
        <v>0.4</v>
      </c>
      <c r="C175" s="25">
        <f t="shared" si="26"/>
        <v>55.07136722663023</v>
      </c>
      <c r="D175" s="25">
        <f t="shared" si="27"/>
        <v>43.493882308596248</v>
      </c>
    </row>
  </sheetData>
  <mergeCells count="1">
    <mergeCell ref="B16:D16"/>
  </mergeCells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B114"/>
  <sheetViews>
    <sheetView zoomScale="80" zoomScaleNormal="80" workbookViewId="0">
      <selection activeCell="D3" sqref="D3"/>
    </sheetView>
  </sheetViews>
  <sheetFormatPr baseColWidth="10" defaultColWidth="8.83203125" defaultRowHeight="16" x14ac:dyDescent="0.2"/>
  <cols>
    <col min="1" max="1" width="8.83203125" style="29"/>
    <col min="2" max="2" width="25.5" style="29" bestFit="1" customWidth="1"/>
    <col min="3" max="3" width="16.83203125" style="29" bestFit="1" customWidth="1"/>
    <col min="4" max="4" width="14" style="29" bestFit="1" customWidth="1"/>
    <col min="5" max="24" width="8.83203125" style="29"/>
    <col min="25" max="25" width="15.5" style="29" customWidth="1"/>
    <col min="26" max="26" width="17" style="29" customWidth="1"/>
    <col min="27" max="27" width="19.83203125" style="29" customWidth="1"/>
    <col min="28" max="48" width="8.83203125" style="29"/>
    <col min="49" max="49" width="7.83203125" style="29" customWidth="1"/>
    <col min="50" max="50" width="17.1640625" style="29" customWidth="1"/>
    <col min="51" max="51" width="18.5" style="29" customWidth="1"/>
    <col min="52" max="52" width="18.1640625" style="29" customWidth="1"/>
    <col min="53" max="16384" width="8.83203125" style="29"/>
  </cols>
  <sheetData>
    <row r="2" spans="2:7" ht="19" x14ac:dyDescent="0.25">
      <c r="B2" s="1" t="s">
        <v>0</v>
      </c>
      <c r="C2" s="1" t="s">
        <v>37</v>
      </c>
      <c r="D2" s="1">
        <v>100</v>
      </c>
    </row>
    <row r="3" spans="2:7" ht="19" x14ac:dyDescent="0.25">
      <c r="B3" s="1" t="s">
        <v>92</v>
      </c>
      <c r="C3" s="1" t="s">
        <v>38</v>
      </c>
      <c r="D3" s="1">
        <v>110</v>
      </c>
    </row>
    <row r="4" spans="2:7" ht="19" x14ac:dyDescent="0.25">
      <c r="B4" s="1" t="s">
        <v>93</v>
      </c>
      <c r="C4" s="1" t="s">
        <v>39</v>
      </c>
      <c r="D4" s="1">
        <v>0.05</v>
      </c>
    </row>
    <row r="5" spans="2:7" ht="19" x14ac:dyDescent="0.25">
      <c r="B5" s="1" t="s">
        <v>94</v>
      </c>
      <c r="C5" s="1" t="s">
        <v>40</v>
      </c>
      <c r="D5" s="1">
        <v>0</v>
      </c>
    </row>
    <row r="6" spans="2:7" ht="19" x14ac:dyDescent="0.25">
      <c r="B6" s="1" t="s">
        <v>5</v>
      </c>
      <c r="C6" s="1" t="s">
        <v>79</v>
      </c>
      <c r="D6" s="1">
        <v>0.3</v>
      </c>
    </row>
    <row r="7" spans="2:7" ht="19" x14ac:dyDescent="0.25">
      <c r="B7" s="1" t="s">
        <v>95</v>
      </c>
      <c r="C7" s="1" t="s">
        <v>42</v>
      </c>
      <c r="D7" s="1">
        <v>1</v>
      </c>
    </row>
    <row r="8" spans="2:7" ht="19" x14ac:dyDescent="0.25">
      <c r="B8" s="1"/>
      <c r="C8" s="1"/>
      <c r="D8" s="1"/>
    </row>
    <row r="9" spans="2:7" ht="19" x14ac:dyDescent="0.25">
      <c r="B9" s="1" t="s">
        <v>96</v>
      </c>
      <c r="C9" s="7" t="s">
        <v>43</v>
      </c>
      <c r="D9" s="1">
        <v>0</v>
      </c>
    </row>
    <row r="10" spans="2:7" ht="19" x14ac:dyDescent="0.25">
      <c r="B10" s="1" t="s">
        <v>97</v>
      </c>
      <c r="C10" s="1" t="s">
        <v>44</v>
      </c>
      <c r="D10" s="1">
        <v>90</v>
      </c>
    </row>
    <row r="11" spans="2:7" ht="19" x14ac:dyDescent="0.25">
      <c r="B11" s="1"/>
      <c r="C11" s="1"/>
      <c r="D11" s="1"/>
    </row>
    <row r="12" spans="2:7" ht="19" x14ac:dyDescent="0.25">
      <c r="B12" s="1" t="s">
        <v>77</v>
      </c>
      <c r="C12" s="1"/>
      <c r="D12" s="1">
        <f>lookbackOptionCon($D$2,$D$3,$D$4,$D$5,$D$6,$D$7,$D$9,$D$10)</f>
        <v>10.990232064917413</v>
      </c>
      <c r="F12" s="29">
        <f>BS_call(D2,D3,D4,D6,D5,D7)</f>
        <v>10.02007762005595</v>
      </c>
      <c r="G12" s="29" t="s">
        <v>98</v>
      </c>
    </row>
    <row r="13" spans="2:7" ht="19" x14ac:dyDescent="0.25">
      <c r="B13" s="1" t="s">
        <v>78</v>
      </c>
      <c r="C13" s="1"/>
      <c r="D13" s="1">
        <f>lookbackOptionCon($D$2,$D$3,$D$4,$D$5,$D$6,$D$7,$D$9,$D$10,"put")</f>
        <v>6.9472553360624918</v>
      </c>
      <c r="F13" s="29">
        <f>BS_put($D$2,$D$3,$D$4,$D$6,$D$5,$D$7)</f>
        <v>14.655314315134504</v>
      </c>
      <c r="G13" s="29" t="s">
        <v>99</v>
      </c>
    </row>
    <row r="15" spans="2:7" s="30" customFormat="1" ht="21" x14ac:dyDescent="0.25">
      <c r="B15" s="38" t="s">
        <v>106</v>
      </c>
      <c r="C15" s="38"/>
      <c r="D15" s="38"/>
    </row>
    <row r="17" spans="2:18" x14ac:dyDescent="0.2">
      <c r="B17" s="29" t="s">
        <v>107</v>
      </c>
      <c r="C17" s="29" t="s">
        <v>108</v>
      </c>
      <c r="D17" s="29" t="s">
        <v>109</v>
      </c>
      <c r="F17" s="29" t="s">
        <v>110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</row>
    <row r="18" spans="2:18" ht="19" x14ac:dyDescent="0.25">
      <c r="B18" s="29">
        <v>0.01</v>
      </c>
      <c r="C18" s="1">
        <f>lookbackOptionCon($D$2,$D$3,$B18,$D$5,$D$6,$D$7,$D$9,$D$10,"put")</f>
        <v>6.1686174214900982</v>
      </c>
      <c r="D18" s="29">
        <f>BS_put($D$2,$D$3,$B18,$D$6,$D$5,$D$7)</f>
        <v>17.403284899719964</v>
      </c>
      <c r="F18" s="29" t="s">
        <v>111</v>
      </c>
      <c r="I18" s="10"/>
      <c r="J18" s="10"/>
      <c r="K18" s="10"/>
      <c r="L18" s="10"/>
      <c r="M18" s="10"/>
      <c r="N18" s="10"/>
      <c r="O18" s="10"/>
      <c r="P18" s="10"/>
      <c r="Q18" s="10"/>
      <c r="R18" s="10"/>
    </row>
    <row r="19" spans="2:18" ht="19" x14ac:dyDescent="0.25">
      <c r="B19" s="29">
        <v>1.2500000000000001E-2</v>
      </c>
      <c r="C19" s="1">
        <f t="shared" ref="C19:C82" si="0">lookbackOptionCon($D$2,$D$3,$B19,$D$5,$D$6,$D$7,$D$9,$D$10,"put")</f>
        <v>6.2267560221474785</v>
      </c>
      <c r="D19" s="29">
        <f t="shared" ref="D19:D82" si="1">BS_put($D$2,$D$3,$B19,$D$6,$D$5,$D$7)</f>
        <v>17.222054493866843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</row>
    <row r="20" spans="2:18" ht="19" x14ac:dyDescent="0.25">
      <c r="B20" s="29">
        <v>1.4999999999999999E-2</v>
      </c>
      <c r="C20" s="1">
        <f t="shared" si="0"/>
        <v>6.2835853555440933</v>
      </c>
      <c r="D20" s="29">
        <f t="shared" si="1"/>
        <v>17.042100118643305</v>
      </c>
      <c r="F20" s="29" t="s">
        <v>113</v>
      </c>
    </row>
    <row r="21" spans="2:18" ht="19" x14ac:dyDescent="0.25">
      <c r="B21" s="29">
        <v>1.7500000000000002E-2</v>
      </c>
      <c r="C21" s="1">
        <f t="shared" si="0"/>
        <v>6.3391150458260759</v>
      </c>
      <c r="D21" s="29">
        <f t="shared" si="1"/>
        <v>16.863419424695252</v>
      </c>
    </row>
    <row r="22" spans="2:18" ht="19" x14ac:dyDescent="0.25">
      <c r="B22" s="29">
        <v>0.02</v>
      </c>
      <c r="C22" s="1">
        <f t="shared" si="0"/>
        <v>6.3933548037070853</v>
      </c>
      <c r="D22" s="29">
        <f t="shared" si="1"/>
        <v>16.686010012082079</v>
      </c>
    </row>
    <row r="23" spans="2:18" ht="19" x14ac:dyDescent="0.25">
      <c r="B23" s="29">
        <v>2.2499999999999999E-2</v>
      </c>
      <c r="C23" s="1">
        <f t="shared" si="0"/>
        <v>6.4463144230615601</v>
      </c>
      <c r="D23" s="29">
        <f t="shared" si="1"/>
        <v>16.509869430241508</v>
      </c>
    </row>
    <row r="24" spans="2:18" ht="19" x14ac:dyDescent="0.25">
      <c r="B24" s="29">
        <v>2.5000000000000001E-2</v>
      </c>
      <c r="C24" s="1">
        <f t="shared" si="0"/>
        <v>6.4980037775385968</v>
      </c>
      <c r="D24" s="29">
        <f t="shared" si="1"/>
        <v>16.33499517796546</v>
      </c>
    </row>
    <row r="25" spans="2:18" ht="19" x14ac:dyDescent="0.25">
      <c r="B25" s="29">
        <v>2.75E-2</v>
      </c>
      <c r="C25" s="1">
        <f t="shared" si="0"/>
        <v>6.548432817198246</v>
      </c>
      <c r="D25" s="29">
        <f t="shared" si="1"/>
        <v>16.161384703388158</v>
      </c>
    </row>
    <row r="26" spans="2:18" ht="19" x14ac:dyDescent="0.25">
      <c r="B26" s="29">
        <v>0.03</v>
      </c>
      <c r="C26" s="1">
        <f t="shared" si="0"/>
        <v>6.5976115651709524</v>
      </c>
      <c r="D26" s="29">
        <f t="shared" si="1"/>
        <v>15.989035403985852</v>
      </c>
    </row>
    <row r="27" spans="2:18" ht="19" x14ac:dyDescent="0.25">
      <c r="B27" s="29">
        <v>3.2500000000000001E-2</v>
      </c>
      <c r="C27" s="1">
        <f t="shared" si="0"/>
        <v>6.6455501143419919</v>
      </c>
      <c r="D27" s="29">
        <f t="shared" si="1"/>
        <v>15.817944626588364</v>
      </c>
    </row>
    <row r="28" spans="2:18" ht="19" x14ac:dyDescent="0.25">
      <c r="B28" s="29">
        <v>3.5000000000000003E-2</v>
      </c>
      <c r="C28" s="1">
        <f t="shared" si="0"/>
        <v>6.6922586240617248</v>
      </c>
      <c r="D28" s="29">
        <f t="shared" si="1"/>
        <v>15.648109667402416</v>
      </c>
    </row>
    <row r="29" spans="2:18" ht="19" x14ac:dyDescent="0.25">
      <c r="B29" s="29">
        <v>3.7499999999999999E-2</v>
      </c>
      <c r="C29" s="1">
        <f t="shared" si="0"/>
        <v>6.737747316883115</v>
      </c>
      <c r="D29" s="29">
        <f t="shared" si="1"/>
        <v>15.479527772046787</v>
      </c>
    </row>
    <row r="30" spans="2:18" ht="19" x14ac:dyDescent="0.25">
      <c r="B30" s="29">
        <v>0.04</v>
      </c>
      <c r="C30" s="1">
        <f t="shared" si="0"/>
        <v>6.7820264753275534</v>
      </c>
      <c r="D30" s="29">
        <f t="shared" si="1"/>
        <v>15.312196135599258</v>
      </c>
    </row>
    <row r="31" spans="2:18" ht="19" x14ac:dyDescent="0.25">
      <c r="B31" s="29">
        <v>4.2500000000000003E-2</v>
      </c>
      <c r="C31" s="1">
        <f t="shared" si="0"/>
        <v>6.8251064386802014</v>
      </c>
      <c r="D31" s="29">
        <f t="shared" si="1"/>
        <v>15.146111902655441</v>
      </c>
    </row>
    <row r="32" spans="2:18" ht="19" x14ac:dyDescent="0.25">
      <c r="B32" s="29">
        <v>4.4999999999999998E-2</v>
      </c>
      <c r="C32" s="1">
        <f t="shared" si="0"/>
        <v>6.8669975998159307</v>
      </c>
      <c r="D32" s="29">
        <f t="shared" si="1"/>
        <v>14.981272167399354</v>
      </c>
    </row>
    <row r="33" spans="2:54" ht="19" x14ac:dyDescent="0.25">
      <c r="B33" s="29">
        <v>4.7500000000000001E-2</v>
      </c>
      <c r="C33" s="1">
        <f t="shared" si="0"/>
        <v>6.9077104020568605</v>
      </c>
      <c r="D33" s="29">
        <f t="shared" si="1"/>
        <v>14.817673973685807</v>
      </c>
    </row>
    <row r="34" spans="2:54" ht="19" x14ac:dyDescent="0.25">
      <c r="B34" s="29">
        <v>0.05</v>
      </c>
      <c r="C34" s="1">
        <f t="shared" si="0"/>
        <v>6.9472553360624918</v>
      </c>
      <c r="D34" s="29">
        <f t="shared" si="1"/>
        <v>14.655314315134504</v>
      </c>
    </row>
    <row r="35" spans="2:54" ht="19" x14ac:dyDescent="0.25">
      <c r="B35" s="29">
        <v>5.2499999999999998E-2</v>
      </c>
      <c r="C35" s="1">
        <f t="shared" si="0"/>
        <v>6.9856429367536759</v>
      </c>
      <c r="D35" s="29">
        <f t="shared" si="1"/>
        <v>14.49419013523616</v>
      </c>
    </row>
    <row r="36" spans="2:54" ht="19" x14ac:dyDescent="0.25">
      <c r="B36" s="29">
        <v>5.5E-2</v>
      </c>
      <c r="C36" s="1">
        <f t="shared" si="0"/>
        <v>7.0228837802708091</v>
      </c>
      <c r="D36" s="29">
        <f t="shared" si="1"/>
        <v>14.334298327469938</v>
      </c>
      <c r="AY36" s="1"/>
      <c r="AZ36" s="1"/>
    </row>
    <row r="37" spans="2:54" ht="19" x14ac:dyDescent="0.25">
      <c r="B37" s="29">
        <v>5.7500000000000002E-2</v>
      </c>
      <c r="C37" s="1">
        <f t="shared" si="0"/>
        <v>7.0589884809677921</v>
      </c>
      <c r="D37" s="29">
        <f t="shared" si="1"/>
        <v>14.175635735433026</v>
      </c>
    </row>
    <row r="38" spans="2:54" ht="19" x14ac:dyDescent="0.25">
      <c r="B38" s="29">
        <v>0.06</v>
      </c>
      <c r="C38" s="1">
        <f t="shared" si="0"/>
        <v>7.0939676884420795</v>
      </c>
      <c r="D38" s="29">
        <f t="shared" si="1"/>
        <v>14.018199152981637</v>
      </c>
    </row>
    <row r="39" spans="2:54" ht="19" x14ac:dyDescent="0.25">
      <c r="B39" s="29">
        <v>6.25E-2</v>
      </c>
      <c r="C39" s="1">
        <f t="shared" si="0"/>
        <v>7.1278320846019954</v>
      </c>
      <c r="D39" s="29">
        <f t="shared" si="1"/>
        <v>13.861985324383703</v>
      </c>
    </row>
    <row r="40" spans="2:54" ht="19" x14ac:dyDescent="0.25">
      <c r="B40" s="29">
        <v>6.5000000000000002E-2</v>
      </c>
      <c r="C40" s="1">
        <f t="shared" si="0"/>
        <v>7.1605923807718366</v>
      </c>
      <c r="D40" s="29">
        <f t="shared" si="1"/>
        <v>13.706990944483259</v>
      </c>
    </row>
    <row r="41" spans="2:54" ht="19" x14ac:dyDescent="0.25">
      <c r="B41" s="29">
        <v>6.7500000000000004E-2</v>
      </c>
      <c r="C41" s="1">
        <f t="shared" si="0"/>
        <v>7.1922593148357477</v>
      </c>
      <c r="D41" s="29">
        <f t="shared" si="1"/>
        <v>13.553212658876305</v>
      </c>
    </row>
    <row r="42" spans="2:54" ht="19" x14ac:dyDescent="0.25">
      <c r="B42" s="29">
        <v>7.0000000000000007E-2</v>
      </c>
      <c r="C42" s="1">
        <f t="shared" si="0"/>
        <v>7.2228436484207821</v>
      </c>
      <c r="D42" s="29">
        <f t="shared" si="1"/>
        <v>13.400647064098266</v>
      </c>
    </row>
    <row r="43" spans="2:54" ht="19" x14ac:dyDescent="0.25">
      <c r="B43" s="29">
        <v>7.2499999999999995E-2</v>
      </c>
      <c r="C43" s="1">
        <f t="shared" si="0"/>
        <v>7.2523561641200764</v>
      </c>
      <c r="D43" s="29">
        <f t="shared" si="1"/>
        <v>13.249290707822809</v>
      </c>
    </row>
    <row r="44" spans="2:54" ht="19" x14ac:dyDescent="0.25">
      <c r="B44" s="29">
        <v>7.4999999999999997E-2</v>
      </c>
      <c r="C44" s="1">
        <f t="shared" si="0"/>
        <v>7.2808076627565761</v>
      </c>
      <c r="D44" s="29">
        <f t="shared" si="1"/>
        <v>13.099140089072236</v>
      </c>
    </row>
    <row r="45" spans="2:54" ht="19" x14ac:dyDescent="0.25">
      <c r="B45" s="29">
        <v>7.7499999999999999E-2</v>
      </c>
      <c r="C45" s="1">
        <f t="shared" si="0"/>
        <v>7.3082089606879856</v>
      </c>
      <c r="D45" s="29">
        <f t="shared" si="1"/>
        <v>12.950191658439053</v>
      </c>
    </row>
    <row r="46" spans="2:54" ht="19" x14ac:dyDescent="0.25">
      <c r="B46" s="29">
        <v>0.08</v>
      </c>
      <c r="C46" s="1">
        <f t="shared" si="0"/>
        <v>7.3345708871534736</v>
      </c>
      <c r="D46" s="29">
        <f t="shared" si="1"/>
        <v>12.802441818318947</v>
      </c>
      <c r="BB46" s="29" t="s">
        <v>112</v>
      </c>
    </row>
    <row r="47" spans="2:54" ht="19" x14ac:dyDescent="0.25">
      <c r="B47" s="29">
        <v>8.2500000000000004E-2</v>
      </c>
      <c r="C47" s="1">
        <f t="shared" si="0"/>
        <v>7.3599042816625344</v>
      </c>
      <c r="D47" s="29">
        <f t="shared" si="1"/>
        <v>12.655886923155016</v>
      </c>
    </row>
    <row r="48" spans="2:54" ht="19" x14ac:dyDescent="0.25">
      <c r="B48" s="29">
        <v>8.5000000000000006E-2</v>
      </c>
      <c r="C48" s="1">
        <f t="shared" si="0"/>
        <v>7.3842199914266944</v>
      </c>
      <c r="D48" s="29">
        <f t="shared" si="1"/>
        <v>12.510523279692954</v>
      </c>
    </row>
    <row r="49" spans="2:4" ht="19" x14ac:dyDescent="0.25">
      <c r="B49" s="29">
        <v>8.7499999999999994E-2</v>
      </c>
      <c r="C49" s="1">
        <f t="shared" si="0"/>
        <v>7.4075288688342047</v>
      </c>
      <c r="D49" s="29">
        <f t="shared" si="1"/>
        <v>12.366347147247581</v>
      </c>
    </row>
    <row r="50" spans="2:4" ht="19" x14ac:dyDescent="0.25">
      <c r="B50" s="29">
        <v>0.09</v>
      </c>
      <c r="C50" s="1">
        <f t="shared" si="0"/>
        <v>7.4298417689683518</v>
      </c>
      <c r="D50" s="29">
        <f t="shared" si="1"/>
        <v>12.223354737980188</v>
      </c>
    </row>
    <row r="51" spans="2:4" ht="19" x14ac:dyDescent="0.25">
      <c r="B51" s="29">
        <v>9.2499999999999999E-2</v>
      </c>
      <c r="C51" s="1">
        <f t="shared" si="0"/>
        <v>7.4511695471696555</v>
      </c>
      <c r="D51" s="29">
        <f t="shared" si="1"/>
        <v>12.081542217186858</v>
      </c>
    </row>
    <row r="52" spans="2:4" ht="19" x14ac:dyDescent="0.25">
      <c r="B52" s="29">
        <v>9.5000000000000001E-2</v>
      </c>
      <c r="C52" s="1">
        <f t="shared" si="0"/>
        <v>7.4715230566421749</v>
      </c>
      <c r="D52" s="29">
        <f t="shared" si="1"/>
        <v>11.940905703597643</v>
      </c>
    </row>
    <row r="53" spans="2:4" ht="19" x14ac:dyDescent="0.25">
      <c r="B53" s="29">
        <v>9.7500000000000003E-2</v>
      </c>
      <c r="C53" s="1">
        <f t="shared" si="0"/>
        <v>7.4909131461043366</v>
      </c>
      <c r="D53" s="29">
        <f t="shared" si="1"/>
        <v>11.801441269686414</v>
      </c>
    </row>
    <row r="54" spans="2:4" ht="19" x14ac:dyDescent="0.25">
      <c r="B54" s="29">
        <v>0.1</v>
      </c>
      <c r="C54" s="1">
        <f t="shared" si="0"/>
        <v>7.5093506574845676</v>
      </c>
      <c r="D54" s="29">
        <f t="shared" si="1"/>
        <v>11.663144941991433</v>
      </c>
    </row>
    <row r="55" spans="2:4" ht="19" x14ac:dyDescent="0.25">
      <c r="B55" s="29">
        <v>0.10249999999999999</v>
      </c>
      <c r="C55" s="1">
        <f t="shared" si="0"/>
        <v>7.5268464236616559</v>
      </c>
      <c r="D55" s="29">
        <f t="shared" si="1"/>
        <v>11.526012701446447</v>
      </c>
    </row>
    <row r="56" spans="2:4" ht="19" x14ac:dyDescent="0.25">
      <c r="B56" s="29">
        <v>0.105</v>
      </c>
      <c r="C56" s="1">
        <f t="shared" si="0"/>
        <v>7.5434112662504313</v>
      </c>
      <c r="D56" s="29">
        <f t="shared" si="1"/>
        <v>11.390040483722188</v>
      </c>
    </row>
    <row r="57" spans="2:4" ht="19" x14ac:dyDescent="0.25">
      <c r="B57" s="29">
        <v>0.1075</v>
      </c>
      <c r="C57" s="1">
        <f t="shared" si="0"/>
        <v>7.5590559934325317</v>
      </c>
      <c r="D57" s="29">
        <f t="shared" si="1"/>
        <v>11.255224179578249</v>
      </c>
    </row>
    <row r="58" spans="2:4" ht="19" x14ac:dyDescent="0.25">
      <c r="B58" s="29">
        <v>0.11</v>
      </c>
      <c r="C58" s="1">
        <f t="shared" si="0"/>
        <v>7.5737913978326121</v>
      </c>
      <c r="D58" s="29">
        <f t="shared" si="1"/>
        <v>11.121559635225317</v>
      </c>
    </row>
    <row r="59" spans="2:4" ht="19" x14ac:dyDescent="0.25">
      <c r="B59" s="29">
        <v>0.1125</v>
      </c>
      <c r="C59" s="1">
        <f t="shared" si="0"/>
        <v>7.5876282544399016</v>
      </c>
      <c r="D59" s="29">
        <f t="shared" si="1"/>
        <v>10.989042652697272</v>
      </c>
    </row>
    <row r="60" spans="2:4" ht="19" x14ac:dyDescent="0.25">
      <c r="B60" s="29">
        <v>0.115</v>
      </c>
      <c r="C60" s="1">
        <f t="shared" si="0"/>
        <v>7.600577318575346</v>
      </c>
      <c r="D60" s="29">
        <f t="shared" si="1"/>
        <v>10.857668990233542</v>
      </c>
    </row>
    <row r="61" spans="2:4" ht="19" x14ac:dyDescent="0.25">
      <c r="B61" s="29">
        <v>0.11749999999999999</v>
      </c>
      <c r="C61" s="1">
        <f t="shared" si="0"/>
        <v>7.6126493239040753</v>
      </c>
      <c r="D61" s="29">
        <f t="shared" si="1"/>
        <v>10.727434362671239</v>
      </c>
    </row>
    <row r="62" spans="2:4" ht="19" x14ac:dyDescent="0.25">
      <c r="B62" s="29">
        <v>0.12</v>
      </c>
      <c r="C62" s="1">
        <f t="shared" si="0"/>
        <v>7.6238549804934665</v>
      </c>
      <c r="D62" s="29">
        <f t="shared" si="1"/>
        <v>10.598334441847037</v>
      </c>
    </row>
    <row r="63" spans="2:4" ht="19" x14ac:dyDescent="0.25">
      <c r="B63" s="29">
        <v>0.1225</v>
      </c>
      <c r="C63" s="1">
        <f t="shared" si="0"/>
        <v>7.6342049729165282</v>
      </c>
      <c r="D63" s="29">
        <f t="shared" si="1"/>
        <v>10.470364857008775</v>
      </c>
    </row>
    <row r="64" spans="2:4" ht="19" x14ac:dyDescent="0.25">
      <c r="B64" s="29">
        <v>0.125</v>
      </c>
      <c r="C64" s="1">
        <f t="shared" si="0"/>
        <v>7.6437099584006365</v>
      </c>
      <c r="D64" s="29">
        <f t="shared" si="1"/>
        <v>10.343521195236555</v>
      </c>
    </row>
    <row r="65" spans="2:4" ht="19" x14ac:dyDescent="0.25">
      <c r="B65" s="29">
        <v>0.1275</v>
      </c>
      <c r="C65" s="1">
        <f t="shared" si="0"/>
        <v>7.6523805650214856</v>
      </c>
      <c r="D65" s="29">
        <f t="shared" si="1"/>
        <v>10.217799001873161</v>
      </c>
    </row>
    <row r="66" spans="2:4" ht="19" x14ac:dyDescent="0.25">
      <c r="B66" s="29">
        <v>0.13</v>
      </c>
      <c r="C66" s="1">
        <f t="shared" si="0"/>
        <v>7.6602273899421469</v>
      </c>
      <c r="D66" s="29">
        <f t="shared" si="1"/>
        <v>10.093193780963851</v>
      </c>
    </row>
    <row r="67" spans="2:4" ht="19" x14ac:dyDescent="0.25">
      <c r="B67" s="29">
        <v>0.13250000000000001</v>
      </c>
      <c r="C67" s="1">
        <f t="shared" si="0"/>
        <v>7.6672609976969639</v>
      </c>
      <c r="D67" s="29">
        <f t="shared" si="1"/>
        <v>9.9697009957051748</v>
      </c>
    </row>
    <row r="68" spans="2:4" ht="19" x14ac:dyDescent="0.25">
      <c r="B68" s="29">
        <v>0.13500000000000001</v>
      </c>
      <c r="C68" s="1">
        <f t="shared" si="0"/>
        <v>7.6734919185202699</v>
      </c>
      <c r="D68" s="29">
        <f t="shared" si="1"/>
        <v>9.847316068902785</v>
      </c>
    </row>
    <row r="69" spans="2:4" ht="19" x14ac:dyDescent="0.25">
      <c r="B69" s="29">
        <v>0.13750000000000001</v>
      </c>
      <c r="C69" s="1">
        <f t="shared" si="0"/>
        <v>7.6789306467195182</v>
      </c>
      <c r="D69" s="29">
        <f t="shared" si="1"/>
        <v>9.726034383438062</v>
      </c>
    </row>
    <row r="70" spans="2:4" ht="19" x14ac:dyDescent="0.25">
      <c r="B70" s="29">
        <v>0.14000000000000001</v>
      </c>
      <c r="C70" s="1">
        <f t="shared" si="0"/>
        <v>7.6835876390927416</v>
      </c>
      <c r="D70" s="29">
        <f t="shared" si="1"/>
        <v>9.6058512827434939</v>
      </c>
    </row>
    <row r="71" spans="2:4" ht="19" x14ac:dyDescent="0.25">
      <c r="B71" s="29">
        <v>0.14249999999999999</v>
      </c>
      <c r="C71" s="1">
        <f t="shared" si="0"/>
        <v>7.6874733133899467</v>
      </c>
      <c r="D71" s="29">
        <f t="shared" si="1"/>
        <v>9.4867620712865275</v>
      </c>
    </row>
    <row r="72" spans="2:4" ht="19" x14ac:dyDescent="0.25">
      <c r="B72" s="29">
        <v>0.14499999999999999</v>
      </c>
      <c r="C72" s="1">
        <f t="shared" si="0"/>
        <v>7.6905980468182777</v>
      </c>
      <c r="D72" s="29">
        <f t="shared" si="1"/>
        <v>9.36876201506184</v>
      </c>
    </row>
    <row r="73" spans="2:4" ht="19" x14ac:dyDescent="0.25">
      <c r="B73" s="29">
        <v>0.14749999999999999</v>
      </c>
      <c r="C73" s="1">
        <f t="shared" si="0"/>
        <v>7.6929721745905191</v>
      </c>
      <c r="D73" s="29">
        <f t="shared" si="1"/>
        <v>9.251846342091838</v>
      </c>
    </row>
    <row r="74" spans="2:4" ht="19" x14ac:dyDescent="0.25">
      <c r="B74" s="29">
        <v>0.15</v>
      </c>
      <c r="C74" s="1">
        <f t="shared" si="0"/>
        <v>7.6946059885166438</v>
      </c>
      <c r="D74" s="29">
        <f t="shared" si="1"/>
        <v>9.1360102429351784</v>
      </c>
    </row>
    <row r="75" spans="2:4" ht="19" x14ac:dyDescent="0.25">
      <c r="B75" s="29">
        <v>0.1525</v>
      </c>
      <c r="C75" s="1">
        <f t="shared" si="0"/>
        <v>7.6955097356381126</v>
      </c>
      <c r="D75" s="29">
        <f t="shared" si="1"/>
        <v>9.0212488712033476</v>
      </c>
    </row>
    <row r="76" spans="2:4" ht="19" x14ac:dyDescent="0.25">
      <c r="B76" s="29">
        <v>0.155</v>
      </c>
      <c r="C76" s="1">
        <f t="shared" si="0"/>
        <v>7.6956936169044514</v>
      </c>
      <c r="D76" s="29">
        <f t="shared" si="1"/>
        <v>8.9075573440847648</v>
      </c>
    </row>
    <row r="77" spans="2:4" ht="19" x14ac:dyDescent="0.25">
      <c r="B77" s="29">
        <v>0.1575</v>
      </c>
      <c r="C77" s="1">
        <f t="shared" si="0"/>
        <v>7.6951677858917478</v>
      </c>
      <c r="D77" s="29">
        <f t="shared" si="1"/>
        <v>8.7949307428767654</v>
      </c>
    </row>
    <row r="78" spans="2:4" ht="19" x14ac:dyDescent="0.25">
      <c r="B78" s="29">
        <v>0.16</v>
      </c>
      <c r="C78" s="1">
        <f t="shared" si="0"/>
        <v>7.693942347562678</v>
      </c>
      <c r="D78" s="29">
        <f t="shared" si="1"/>
        <v>8.6833641135247177</v>
      </c>
    </row>
    <row r="79" spans="2:4" ht="19" x14ac:dyDescent="0.25">
      <c r="B79" s="29">
        <v>0.16250000000000001</v>
      </c>
      <c r="C79" s="1">
        <f t="shared" si="0"/>
        <v>7.6920273570675963</v>
      </c>
      <c r="D79" s="29">
        <f t="shared" si="1"/>
        <v>8.5728524671686372</v>
      </c>
    </row>
    <row r="80" spans="2:4" ht="19" x14ac:dyDescent="0.25">
      <c r="B80" s="29">
        <v>0.16500000000000001</v>
      </c>
      <c r="C80" s="1">
        <f t="shared" si="0"/>
        <v>7.6894328185862433</v>
      </c>
      <c r="D80" s="29">
        <f t="shared" si="1"/>
        <v>8.4633907806967485</v>
      </c>
    </row>
    <row r="81" spans="2:4" ht="19" x14ac:dyDescent="0.25">
      <c r="B81" s="29">
        <v>0.16750000000000001</v>
      </c>
      <c r="C81" s="1">
        <f t="shared" si="0"/>
        <v>7.6861686842096146</v>
      </c>
      <c r="D81" s="29">
        <f t="shared" si="1"/>
        <v>8.3549739973059616</v>
      </c>
    </row>
    <row r="82" spans="2:4" ht="19" x14ac:dyDescent="0.25">
      <c r="B82" s="29">
        <v>0.17</v>
      </c>
      <c r="C82" s="1">
        <f t="shared" si="0"/>
        <v>7.6822448528615102</v>
      </c>
      <c r="D82" s="29">
        <f t="shared" si="1"/>
        <v>8.2475970270692187</v>
      </c>
    </row>
    <row r="83" spans="2:4" ht="19" x14ac:dyDescent="0.25">
      <c r="B83" s="29">
        <v>0.17249999999999999</v>
      </c>
      <c r="C83" s="1">
        <f t="shared" ref="C83:C114" si="2">lookbackOptionCon($D$2,$D$3,$B83,$D$5,$D$6,$D$7,$D$9,$D$10,"put")</f>
        <v>7.6776711692592237</v>
      </c>
      <c r="D83" s="29">
        <f t="shared" ref="D83:D114" si="3">BS_put($D$2,$D$3,$B83,$D$6,$D$5,$D$7)</f>
        <v>8.1412547475091728</v>
      </c>
    </row>
    <row r="84" spans="2:4" ht="19" x14ac:dyDescent="0.25">
      <c r="B84" s="29">
        <v>0.17499999999999999</v>
      </c>
      <c r="C84" s="1">
        <f t="shared" si="2"/>
        <v>7.6724574229129914</v>
      </c>
      <c r="D84" s="29">
        <f t="shared" si="3"/>
        <v>8.0359420041785015</v>
      </c>
    </row>
    <row r="85" spans="2:4" ht="19" x14ac:dyDescent="0.25">
      <c r="B85" s="29">
        <v>0.17749999999999999</v>
      </c>
      <c r="C85" s="1">
        <f t="shared" si="2"/>
        <v>7.666613347163417</v>
      </c>
      <c r="D85" s="29">
        <f t="shared" si="3"/>
        <v>7.9316536112462614</v>
      </c>
    </row>
    <row r="86" spans="2:4" ht="19" x14ac:dyDescent="0.25">
      <c r="B86" s="29">
        <v>0.18</v>
      </c>
      <c r="C86" s="1">
        <f t="shared" si="2"/>
        <v>7.660148618256704</v>
      </c>
      <c r="D86" s="29">
        <f t="shared" si="3"/>
        <v>7.8283843520903034</v>
      </c>
    </row>
    <row r="87" spans="2:4" ht="19" x14ac:dyDescent="0.25">
      <c r="B87" s="29">
        <v>0.1825</v>
      </c>
      <c r="C87" s="1">
        <f t="shared" si="2"/>
        <v>7.6530728544567834</v>
      </c>
      <c r="D87" s="29">
        <f t="shared" si="3"/>
        <v>7.7261289798955843</v>
      </c>
    </row>
    <row r="88" spans="2:4" ht="19" x14ac:dyDescent="0.25">
      <c r="B88" s="29">
        <v>0.185</v>
      </c>
      <c r="C88" s="1">
        <f t="shared" si="2"/>
        <v>7.6453956151940083</v>
      </c>
      <c r="D88" s="29">
        <f t="shared" si="3"/>
        <v>7.6248822182580369</v>
      </c>
    </row>
    <row r="89" spans="2:4" ht="19" x14ac:dyDescent="0.25">
      <c r="B89" s="29">
        <v>0.1875</v>
      </c>
      <c r="C89" s="1">
        <f t="shared" si="2"/>
        <v>7.6371264002497874</v>
      </c>
      <c r="D89" s="29">
        <f t="shared" si="3"/>
        <v>7.5246387617939661</v>
      </c>
    </row>
    <row r="90" spans="2:4" ht="19" x14ac:dyDescent="0.25">
      <c r="B90" s="29">
        <v>0.19</v>
      </c>
      <c r="C90" s="1">
        <f t="shared" si="2"/>
        <v>7.6282746489765634</v>
      </c>
      <c r="D90" s="29">
        <f t="shared" si="3"/>
        <v>7.4253932767547184</v>
      </c>
    </row>
    <row r="91" spans="2:4" ht="19" x14ac:dyDescent="0.25">
      <c r="B91" s="29">
        <v>0.1925</v>
      </c>
      <c r="C91" s="1">
        <f t="shared" si="2"/>
        <v>7.6188497395525232</v>
      </c>
      <c r="D91" s="29">
        <f t="shared" si="3"/>
        <v>7.3271404016464956</v>
      </c>
    </row>
    <row r="92" spans="2:4" ht="19" x14ac:dyDescent="0.25">
      <c r="B92" s="29">
        <v>0.19500000000000001</v>
      </c>
      <c r="C92" s="1">
        <f t="shared" si="2"/>
        <v>7.6088609882705249</v>
      </c>
      <c r="D92" s="29">
        <f t="shared" si="3"/>
        <v>7.2298747478549608</v>
      </c>
    </row>
    <row r="93" spans="2:4" ht="19" x14ac:dyDescent="0.25">
      <c r="B93" s="29">
        <v>0.19750000000000001</v>
      </c>
      <c r="C93" s="1">
        <f t="shared" si="2"/>
        <v>7.5983176488606272</v>
      </c>
      <c r="D93" s="29">
        <f t="shared" si="3"/>
        <v>7.1335909002745943</v>
      </c>
    </row>
    <row r="94" spans="2:4" ht="19" x14ac:dyDescent="0.25">
      <c r="B94" s="29">
        <v>0.2</v>
      </c>
      <c r="C94" s="1">
        <f t="shared" si="2"/>
        <v>7.5872289118454654</v>
      </c>
      <c r="D94" s="29">
        <f t="shared" si="3"/>
        <v>7.0382834179426901</v>
      </c>
    </row>
    <row r="95" spans="2:4" ht="19" x14ac:dyDescent="0.25">
      <c r="B95" s="29">
        <v>0.20250000000000001</v>
      </c>
      <c r="C95" s="1">
        <f t="shared" si="2"/>
        <v>7.57560390392816</v>
      </c>
      <c r="D95" s="29">
        <f t="shared" si="3"/>
        <v>6.9439468346774902</v>
      </c>
    </row>
    <row r="96" spans="2:4" ht="19" x14ac:dyDescent="0.25">
      <c r="B96" s="29">
        <v>0.20499999999999999</v>
      </c>
      <c r="C96" s="1">
        <f t="shared" si="2"/>
        <v>7.5634516874118072</v>
      </c>
      <c r="D96" s="29">
        <f t="shared" si="3"/>
        <v>6.8505756597205512</v>
      </c>
    </row>
    <row r="97" spans="2:4" ht="19" x14ac:dyDescent="0.25">
      <c r="B97" s="29">
        <v>0.20749999999999999</v>
      </c>
      <c r="C97" s="1">
        <f t="shared" si="2"/>
        <v>7.5507812596501669</v>
      </c>
      <c r="D97" s="29">
        <f t="shared" si="3"/>
        <v>6.758164378383082</v>
      </c>
    </row>
    <row r="98" spans="2:4" ht="19" x14ac:dyDescent="0.25">
      <c r="B98" s="29">
        <v>0.21</v>
      </c>
      <c r="C98" s="1">
        <f t="shared" si="2"/>
        <v>7.5376015525288524</v>
      </c>
      <c r="D98" s="29">
        <f t="shared" si="3"/>
        <v>6.6667074526959169</v>
      </c>
    </row>
    <row r="99" spans="2:4" ht="19" x14ac:dyDescent="0.25">
      <c r="B99" s="29">
        <v>0.21249999999999999</v>
      </c>
      <c r="C99" s="1">
        <f t="shared" si="2"/>
        <v>7.5239214319763503</v>
      </c>
      <c r="D99" s="29">
        <f t="shared" si="3"/>
        <v>6.5761993220632036</v>
      </c>
    </row>
    <row r="100" spans="2:4" ht="19" x14ac:dyDescent="0.25">
      <c r="B100" s="29">
        <v>0.215</v>
      </c>
      <c r="C100" s="1">
        <f t="shared" si="2"/>
        <v>7.5097496975043168</v>
      </c>
      <c r="D100" s="29">
        <f t="shared" si="3"/>
        <v>6.4866344039192541</v>
      </c>
    </row>
    <row r="101" spans="2:4" ht="19" x14ac:dyDescent="0.25">
      <c r="B101" s="29">
        <v>0.2175</v>
      </c>
      <c r="C101" s="1">
        <f t="shared" si="2"/>
        <v>7.4950950817764737</v>
      </c>
      <c r="D101" s="29">
        <f t="shared" si="3"/>
        <v>6.3980070943886176</v>
      </c>
    </row>
    <row r="102" spans="2:4" ht="19" x14ac:dyDescent="0.25">
      <c r="B102" s="29">
        <v>0.22</v>
      </c>
      <c r="C102" s="1">
        <f t="shared" si="2"/>
        <v>7.4799662502054591</v>
      </c>
      <c r="D102" s="29">
        <f t="shared" si="3"/>
        <v>6.3103117689492372</v>
      </c>
    </row>
    <row r="103" spans="2:4" ht="19" x14ac:dyDescent="0.25">
      <c r="B103" s="29">
        <v>0.2225</v>
      </c>
      <c r="C103" s="1">
        <f t="shared" si="2"/>
        <v>7.4643718005770827</v>
      </c>
      <c r="D103" s="29">
        <f t="shared" si="3"/>
        <v>6.2235427830981678</v>
      </c>
    </row>
    <row r="104" spans="2:4" ht="19" x14ac:dyDescent="0.25">
      <c r="B104" s="29">
        <v>0.22500000000000001</v>
      </c>
      <c r="C104" s="1">
        <f t="shared" si="2"/>
        <v>7.4483202627012624</v>
      </c>
      <c r="D104" s="29">
        <f t="shared" si="3"/>
        <v>6.1376944730199909</v>
      </c>
    </row>
    <row r="105" spans="2:4" ht="19" x14ac:dyDescent="0.25">
      <c r="B105" s="29">
        <v>0.22750000000000001</v>
      </c>
      <c r="C105" s="1">
        <f t="shared" si="2"/>
        <v>7.4318200980890463</v>
      </c>
      <c r="D105" s="29">
        <f t="shared" si="3"/>
        <v>6.0527611562575423</v>
      </c>
    </row>
    <row r="106" spans="2:4" ht="19" x14ac:dyDescent="0.25">
      <c r="B106" s="29">
        <v>0.23</v>
      </c>
      <c r="C106" s="1">
        <f t="shared" si="2"/>
        <v>7.4148796996551427</v>
      </c>
      <c r="D106" s="29">
        <f t="shared" si="3"/>
        <v>5.9687371323848488</v>
      </c>
    </row>
    <row r="107" spans="2:4" ht="19" x14ac:dyDescent="0.25">
      <c r="B107" s="29">
        <v>0.23250000000000001</v>
      </c>
      <c r="C107" s="1">
        <f t="shared" si="2"/>
        <v>7.3975073914452363</v>
      </c>
      <c r="D107" s="29">
        <f t="shared" si="3"/>
        <v>5.8856166836819312</v>
      </c>
    </row>
    <row r="108" spans="2:4" ht="19" x14ac:dyDescent="0.25">
      <c r="B108" s="29">
        <v>0.23499999999999999</v>
      </c>
      <c r="C108" s="1">
        <f t="shared" si="2"/>
        <v>7.3797114283875551</v>
      </c>
      <c r="D108" s="29">
        <f t="shared" si="3"/>
        <v>5.8033940758115676</v>
      </c>
    </row>
    <row r="109" spans="2:4" ht="19" x14ac:dyDescent="0.25">
      <c r="B109" s="29">
        <v>0.23749999999999999</v>
      </c>
      <c r="C109" s="1">
        <f t="shared" si="2"/>
        <v>7.3614999960680283</v>
      </c>
      <c r="D109" s="29">
        <f t="shared" si="3"/>
        <v>5.722063558497414</v>
      </c>
    </row>
    <row r="110" spans="2:4" ht="19" x14ac:dyDescent="0.25">
      <c r="B110" s="29">
        <v>0.24</v>
      </c>
      <c r="C110" s="1">
        <f t="shared" si="2"/>
        <v>7.3428812105284029</v>
      </c>
      <c r="D110" s="29">
        <f t="shared" si="3"/>
        <v>5.6416193662036846</v>
      </c>
    </row>
    <row r="111" spans="2:4" ht="19" x14ac:dyDescent="0.25">
      <c r="B111" s="29">
        <v>0.24249999999999999</v>
      </c>
      <c r="C111" s="1">
        <f t="shared" si="2"/>
        <v>7.3238631180867637</v>
      </c>
      <c r="D111" s="29">
        <f t="shared" si="3"/>
        <v>5.562055718815909</v>
      </c>
    </row>
    <row r="112" spans="2:4" ht="19" x14ac:dyDescent="0.25">
      <c r="B112" s="29">
        <v>0.245</v>
      </c>
      <c r="C112" s="1">
        <f t="shared" si="2"/>
        <v>7.3044536951797845</v>
      </c>
      <c r="D112" s="29">
        <f t="shared" si="3"/>
        <v>5.4833668223227434</v>
      </c>
    </row>
    <row r="113" spans="2:4" ht="19" x14ac:dyDescent="0.25">
      <c r="B113" s="29">
        <v>0.2475</v>
      </c>
      <c r="C113" s="1">
        <f t="shared" si="2"/>
        <v>7.2846608482261717</v>
      </c>
      <c r="D113" s="29">
        <f t="shared" si="3"/>
        <v>5.4055468694984796</v>
      </c>
    </row>
    <row r="114" spans="2:4" ht="19" x14ac:dyDescent="0.25">
      <c r="B114" s="29">
        <v>0.25</v>
      </c>
      <c r="C114" s="1">
        <f t="shared" si="2"/>
        <v>7.2644924135106272</v>
      </c>
      <c r="D114" s="29">
        <f t="shared" si="3"/>
        <v>5.328590040586306</v>
      </c>
    </row>
  </sheetData>
  <mergeCells count="1">
    <mergeCell ref="B15:D15"/>
  </mergeCell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12"/>
  <sheetViews>
    <sheetView topLeftCell="A22" workbookViewId="0">
      <selection activeCell="C32" sqref="C32"/>
    </sheetView>
  </sheetViews>
  <sheetFormatPr baseColWidth="10" defaultColWidth="8.83203125" defaultRowHeight="15" x14ac:dyDescent="0.2"/>
  <cols>
    <col min="1" max="1" width="16.33203125" style="10" customWidth="1"/>
    <col min="2" max="2" width="8.83203125" style="10"/>
    <col min="3" max="3" width="9.5" style="10" bestFit="1" customWidth="1"/>
    <col min="4" max="16384" width="8.83203125" style="10"/>
  </cols>
  <sheetData>
    <row r="1" spans="1:7" ht="19" x14ac:dyDescent="0.25">
      <c r="A1" s="1" t="s">
        <v>0</v>
      </c>
      <c r="B1" s="1" t="s">
        <v>37</v>
      </c>
      <c r="C1" s="1">
        <v>100</v>
      </c>
    </row>
    <row r="2" spans="1:7" ht="19" x14ac:dyDescent="0.25">
      <c r="A2" s="1" t="s">
        <v>92</v>
      </c>
      <c r="B2" s="1" t="s">
        <v>38</v>
      </c>
      <c r="C2" s="1">
        <v>110</v>
      </c>
    </row>
    <row r="3" spans="1:7" ht="19" x14ac:dyDescent="0.25">
      <c r="A3" s="1" t="s">
        <v>93</v>
      </c>
      <c r="B3" s="1" t="s">
        <v>39</v>
      </c>
      <c r="C3" s="1">
        <v>0.05</v>
      </c>
    </row>
    <row r="4" spans="1:7" ht="19" x14ac:dyDescent="0.25">
      <c r="A4" s="1" t="s">
        <v>94</v>
      </c>
      <c r="B4" s="1" t="s">
        <v>40</v>
      </c>
      <c r="C4" s="1">
        <v>0</v>
      </c>
      <c r="E4" s="10" t="s">
        <v>77</v>
      </c>
    </row>
    <row r="5" spans="1:7" ht="19" x14ac:dyDescent="0.25">
      <c r="A5" s="1" t="s">
        <v>5</v>
      </c>
      <c r="B5" s="1" t="s">
        <v>79</v>
      </c>
      <c r="C5" s="1">
        <v>0.3</v>
      </c>
      <c r="E5" s="10" t="s">
        <v>78</v>
      </c>
    </row>
    <row r="6" spans="1:7" ht="19" x14ac:dyDescent="0.25">
      <c r="A6" s="1" t="s">
        <v>95</v>
      </c>
      <c r="B6" s="1" t="s">
        <v>42</v>
      </c>
      <c r="C6" s="1">
        <v>1</v>
      </c>
    </row>
    <row r="7" spans="1:7" ht="19" x14ac:dyDescent="0.25">
      <c r="A7" s="1"/>
      <c r="B7" s="1"/>
      <c r="C7" s="1"/>
    </row>
    <row r="8" spans="1:7" ht="19" x14ac:dyDescent="0.25">
      <c r="A8" s="1" t="s">
        <v>96</v>
      </c>
      <c r="B8" s="7" t="s">
        <v>43</v>
      </c>
      <c r="C8" s="1">
        <v>0</v>
      </c>
    </row>
    <row r="9" spans="1:7" ht="19" x14ac:dyDescent="0.25">
      <c r="A9" s="1" t="s">
        <v>97</v>
      </c>
      <c r="B9" s="1" t="s">
        <v>44</v>
      </c>
      <c r="C9" s="1">
        <v>90</v>
      </c>
    </row>
    <row r="12" spans="1:7" ht="16" x14ac:dyDescent="0.2">
      <c r="B12" s="29" t="s">
        <v>110</v>
      </c>
    </row>
    <row r="13" spans="1:7" ht="16" x14ac:dyDescent="0.2">
      <c r="B13" s="29" t="s">
        <v>111</v>
      </c>
      <c r="C13" s="29"/>
      <c r="D13" s="29"/>
    </row>
    <row r="15" spans="1:7" ht="16" x14ac:dyDescent="0.2">
      <c r="B15" s="29" t="s">
        <v>114</v>
      </c>
      <c r="C15" s="29" t="s">
        <v>108</v>
      </c>
      <c r="D15" s="29" t="s">
        <v>109</v>
      </c>
    </row>
    <row r="16" spans="1:7" ht="19" x14ac:dyDescent="0.25">
      <c r="B16" s="29">
        <v>0</v>
      </c>
      <c r="C16" s="1">
        <f>lookbackOptionCon($C$1,$C$2,$C$3,$B16,$C$5,$C$6,$C$8,$C$9,"put")</f>
        <v>6.9472553360624918</v>
      </c>
      <c r="D16" s="29">
        <f>BS_put($C$1,$C$2,$C$3,$C$5,$B16,$C$6)</f>
        <v>14.655314315134504</v>
      </c>
      <c r="G16" s="29"/>
    </row>
    <row r="17" spans="2:4" ht="19" x14ac:dyDescent="0.25">
      <c r="B17" s="29">
        <v>1.2500000000000001E-2</v>
      </c>
      <c r="C17" s="1">
        <f t="shared" ref="C17:C80" si="0">lookbackOptionCon($C$1,$C$2,$C$3,$B17,$C$5,$C$6,$C$8,$C$9,"put")</f>
        <v>6.6540496754909793</v>
      </c>
      <c r="D17" s="29">
        <f t="shared" ref="D17:D80" si="1">BS_put($C$1,$C$2,$C$3,$C$5,$B17,$C$6)</f>
        <v>15.287237989801909</v>
      </c>
    </row>
    <row r="18" spans="2:4" ht="19" x14ac:dyDescent="0.25">
      <c r="B18" s="29">
        <v>1.4999999999999999E-2</v>
      </c>
      <c r="C18" s="1">
        <f t="shared" si="0"/>
        <v>6.5926238734747695</v>
      </c>
      <c r="D18" s="29">
        <f t="shared" si="1"/>
        <v>15.415139665576234</v>
      </c>
    </row>
    <row r="19" spans="2:4" ht="19" x14ac:dyDescent="0.25">
      <c r="B19" s="29">
        <v>1.7500000000000002E-2</v>
      </c>
      <c r="C19" s="1">
        <f t="shared" si="0"/>
        <v>6.5302646770824415</v>
      </c>
      <c r="D19" s="29">
        <f t="shared" si="1"/>
        <v>15.54353865094339</v>
      </c>
    </row>
    <row r="20" spans="2:4" ht="19" x14ac:dyDescent="0.25">
      <c r="B20" s="29">
        <v>0.02</v>
      </c>
      <c r="C20" s="1">
        <f t="shared" si="0"/>
        <v>6.4669701031738667</v>
      </c>
      <c r="D20" s="29">
        <f t="shared" si="1"/>
        <v>15.672431290441672</v>
      </c>
    </row>
    <row r="21" spans="2:4" ht="19" x14ac:dyDescent="0.25">
      <c r="B21" s="29">
        <v>2.2499999999999999E-2</v>
      </c>
      <c r="C21" s="1">
        <f t="shared" si="0"/>
        <v>6.4027382886930297</v>
      </c>
      <c r="D21" s="29">
        <f t="shared" si="1"/>
        <v>15.801813888495232</v>
      </c>
    </row>
    <row r="22" spans="2:4" ht="19" x14ac:dyDescent="0.25">
      <c r="B22" s="29">
        <v>2.5000000000000001E-2</v>
      </c>
      <c r="C22" s="1">
        <f t="shared" si="0"/>
        <v>6.3375674926309422</v>
      </c>
      <c r="D22" s="29">
        <f t="shared" si="1"/>
        <v>15.931682710004743</v>
      </c>
    </row>
    <row r="23" spans="2:4" ht="19" x14ac:dyDescent="0.25">
      <c r="B23" s="29">
        <v>2.75E-2</v>
      </c>
      <c r="C23" s="1">
        <f t="shared" si="0"/>
        <v>6.2714560979757668</v>
      </c>
      <c r="D23" s="29">
        <f t="shared" si="1"/>
        <v>16.062033980945188</v>
      </c>
    </row>
    <row r="24" spans="2:4" ht="19" x14ac:dyDescent="0.25">
      <c r="B24" s="29">
        <v>0.03</v>
      </c>
      <c r="C24" s="1">
        <f t="shared" si="0"/>
        <v>6.2044026136484662</v>
      </c>
      <c r="D24" s="29">
        <f t="shared" si="1"/>
        <v>16.192863888970756</v>
      </c>
    </row>
    <row r="25" spans="2:4" ht="19" x14ac:dyDescent="0.25">
      <c r="B25" s="29">
        <v>3.2500000000000001E-2</v>
      </c>
      <c r="C25" s="1">
        <f t="shared" si="0"/>
        <v>6.1364056764230499</v>
      </c>
      <c r="D25" s="29">
        <f t="shared" si="1"/>
        <v>16.324168584026317</v>
      </c>
    </row>
    <row r="26" spans="2:4" ht="19" x14ac:dyDescent="0.25">
      <c r="B26" s="29">
        <v>3.5000000000000003E-2</v>
      </c>
      <c r="C26" s="1">
        <f t="shared" si="0"/>
        <v>6.067464052830104</v>
      </c>
      <c r="D26" s="29">
        <f t="shared" si="1"/>
        <v>16.455944178965701</v>
      </c>
    </row>
    <row r="27" spans="2:4" ht="19" x14ac:dyDescent="0.25">
      <c r="B27" s="29">
        <v>3.7499999999999999E-2</v>
      </c>
      <c r="C27" s="1">
        <f t="shared" si="0"/>
        <v>5.9975766410419595</v>
      </c>
      <c r="D27" s="29">
        <f t="shared" si="1"/>
        <v>16.588186750176341</v>
      </c>
    </row>
    <row r="28" spans="2:4" ht="19" x14ac:dyDescent="0.25">
      <c r="B28" s="29">
        <v>0.04</v>
      </c>
      <c r="C28" s="1">
        <f t="shared" si="0"/>
        <v>5.926742472738721</v>
      </c>
      <c r="D28" s="29">
        <f t="shared" si="1"/>
        <v>16.720892338210042</v>
      </c>
    </row>
    <row r="29" spans="2:4" ht="19" x14ac:dyDescent="0.25">
      <c r="B29" s="29">
        <v>4.2500000000000003E-2</v>
      </c>
      <c r="C29" s="1">
        <f t="shared" si="0"/>
        <v>5.8549607149533696</v>
      </c>
      <c r="D29" s="29">
        <f t="shared" si="1"/>
        <v>16.854056948420038</v>
      </c>
    </row>
    <row r="30" spans="2:4" ht="19" x14ac:dyDescent="0.25">
      <c r="B30" s="29">
        <v>4.4999999999999998E-2</v>
      </c>
      <c r="C30" s="1">
        <f t="shared" si="0"/>
        <v>5.7822306718950847</v>
      </c>
      <c r="D30" s="29">
        <f t="shared" si="1"/>
        <v>16.987676551603599</v>
      </c>
    </row>
    <row r="31" spans="2:4" ht="19" x14ac:dyDescent="0.25">
      <c r="B31" s="29">
        <v>4.7500000000000001E-2</v>
      </c>
      <c r="C31" s="1">
        <f t="shared" si="0"/>
        <v>5.7085517867487301</v>
      </c>
      <c r="D31" s="29">
        <f t="shared" si="1"/>
        <v>17.12174708465048</v>
      </c>
    </row>
    <row r="32" spans="2:4" ht="19" x14ac:dyDescent="0.25">
      <c r="B32" s="29">
        <v>0.05</v>
      </c>
      <c r="C32" s="1"/>
      <c r="D32" s="29">
        <f t="shared" si="1"/>
        <v>17.256264451196742</v>
      </c>
    </row>
    <row r="33" spans="2:4" ht="19" x14ac:dyDescent="0.25">
      <c r="B33" s="29">
        <v>5.2499999999999998E-2</v>
      </c>
      <c r="C33" s="1">
        <f t="shared" si="0"/>
        <v>5.5583459684374406</v>
      </c>
      <c r="D33" s="29">
        <f t="shared" si="1"/>
        <v>17.391224522283942</v>
      </c>
    </row>
    <row r="34" spans="2:4" ht="19" x14ac:dyDescent="0.25">
      <c r="B34" s="29">
        <v>5.5E-2</v>
      </c>
      <c r="C34" s="1">
        <f t="shared" si="0"/>
        <v>5.481818632367542</v>
      </c>
      <c r="D34" s="29">
        <f t="shared" si="1"/>
        <v>17.526623137023194</v>
      </c>
    </row>
    <row r="35" spans="2:4" ht="19" x14ac:dyDescent="0.25">
      <c r="B35" s="29">
        <v>5.7500000000000002E-2</v>
      </c>
      <c r="C35" s="1">
        <f t="shared" si="0"/>
        <v>5.4043416518149536</v>
      </c>
      <c r="D35" s="29">
        <f t="shared" si="1"/>
        <v>17.662456103264184</v>
      </c>
    </row>
    <row r="36" spans="2:4" ht="19" x14ac:dyDescent="0.25">
      <c r="B36" s="29">
        <v>0.06</v>
      </c>
      <c r="C36" s="1">
        <f t="shared" si="0"/>
        <v>5.3259151909323954</v>
      </c>
      <c r="D36" s="29">
        <f t="shared" si="1"/>
        <v>17.798719198269005</v>
      </c>
    </row>
    <row r="37" spans="2:4" ht="19" x14ac:dyDescent="0.25">
      <c r="B37" s="29">
        <v>6.25E-2</v>
      </c>
      <c r="C37" s="1">
        <f t="shared" si="0"/>
        <v>5.2465395630829619</v>
      </c>
      <c r="D37" s="29">
        <f t="shared" si="1"/>
        <v>17.935408169390058</v>
      </c>
    </row>
    <row r="38" spans="2:4" ht="19" x14ac:dyDescent="0.25">
      <c r="B38" s="29">
        <v>6.5000000000000002E-2</v>
      </c>
      <c r="C38" s="1">
        <f t="shared" si="0"/>
        <v>5.1662152324398321</v>
      </c>
      <c r="D38" s="29">
        <f t="shared" si="1"/>
        <v>18.072518734752641</v>
      </c>
    </row>
    <row r="39" spans="2:4" ht="19" x14ac:dyDescent="0.25">
      <c r="B39" s="29">
        <v>6.7500000000000004E-2</v>
      </c>
      <c r="C39" s="1">
        <f t="shared" si="0"/>
        <v>5.084942815551365</v>
      </c>
      <c r="D39" s="29">
        <f t="shared" si="1"/>
        <v>18.210046583941214</v>
      </c>
    </row>
    <row r="40" spans="2:4" ht="19" x14ac:dyDescent="0.25">
      <c r="B40" s="29">
        <v>7.0000000000000007E-2</v>
      </c>
      <c r="C40" s="1">
        <f t="shared" si="0"/>
        <v>5.0027230828713645</v>
      </c>
      <c r="D40" s="29">
        <f t="shared" si="1"/>
        <v>18.347987378689794</v>
      </c>
    </row>
    <row r="41" spans="2:4" ht="19" x14ac:dyDescent="0.25">
      <c r="B41" s="29">
        <v>7.2499999999999995E-2</v>
      </c>
      <c r="C41" s="1">
        <f t="shared" si="0"/>
        <v>4.9195569602526215</v>
      </c>
      <c r="D41" s="29">
        <f t="shared" si="1"/>
        <v>18.48633675357577</v>
      </c>
    </row>
    <row r="42" spans="2:4" ht="19" x14ac:dyDescent="0.25">
      <c r="B42" s="29">
        <v>7.4999999999999997E-2</v>
      </c>
      <c r="C42" s="1">
        <f t="shared" si="0"/>
        <v>4.8354455304026249</v>
      </c>
      <c r="D42" s="29">
        <f t="shared" si="1"/>
        <v>18.625090316717348</v>
      </c>
    </row>
    <row r="43" spans="2:4" ht="19" x14ac:dyDescent="0.25">
      <c r="B43" s="29">
        <v>7.7499999999999999E-2</v>
      </c>
      <c r="C43" s="1">
        <f t="shared" si="0"/>
        <v>4.7503900343000618</v>
      </c>
      <c r="D43" s="29">
        <f t="shared" si="1"/>
        <v>18.764243650474015</v>
      </c>
    </row>
    <row r="44" spans="2:4" ht="19" x14ac:dyDescent="0.25">
      <c r="B44" s="29">
        <v>0.08</v>
      </c>
      <c r="C44" s="1">
        <f t="shared" si="0"/>
        <v>4.6643918725710138</v>
      </c>
      <c r="D44" s="29">
        <f t="shared" si="1"/>
        <v>18.903792312150173</v>
      </c>
    </row>
    <row r="45" spans="2:4" ht="19" x14ac:dyDescent="0.25">
      <c r="B45" s="29">
        <v>8.2500000000000004E-2</v>
      </c>
      <c r="C45" s="1">
        <f t="shared" si="0"/>
        <v>4.5774526068233001</v>
      </c>
      <c r="D45" s="29">
        <f t="shared" si="1"/>
        <v>19.043731834701603</v>
      </c>
    </row>
    <row r="46" spans="2:4" ht="19" x14ac:dyDescent="0.25">
      <c r="B46" s="29">
        <v>8.5000000000000006E-2</v>
      </c>
      <c r="C46" s="1">
        <f t="shared" si="0"/>
        <v>4.4895739609379497</v>
      </c>
      <c r="D46" s="29">
        <f t="shared" si="1"/>
        <v>19.184057727444404</v>
      </c>
    </row>
    <row r="47" spans="2:4" ht="19" x14ac:dyDescent="0.25">
      <c r="B47" s="29">
        <v>8.7499999999999994E-2</v>
      </c>
      <c r="C47" s="1">
        <f t="shared" si="0"/>
        <v>4.4007578223164066</v>
      </c>
      <c r="D47" s="29">
        <f t="shared" si="1"/>
        <v>19.324765476766387</v>
      </c>
    </row>
    <row r="48" spans="2:4" ht="19" x14ac:dyDescent="0.25">
      <c r="B48" s="29">
        <v>0.09</v>
      </c>
      <c r="C48" s="1">
        <f t="shared" si="0"/>
        <v>4.3110062430822831</v>
      </c>
      <c r="D48" s="29">
        <f t="shared" si="1"/>
        <v>19.465850546840876</v>
      </c>
    </row>
    <row r="49" spans="2:4" ht="19" x14ac:dyDescent="0.25">
      <c r="B49" s="29">
        <v>9.2499999999999999E-2</v>
      </c>
      <c r="C49" s="1">
        <f t="shared" si="0"/>
        <v>4.2203214412365444</v>
      </c>
      <c r="D49" s="29">
        <f t="shared" si="1"/>
        <v>19.607308380341976</v>
      </c>
    </row>
    <row r="50" spans="2:4" ht="19" x14ac:dyDescent="0.25">
      <c r="B50" s="29">
        <v>9.5000000000000001E-2</v>
      </c>
      <c r="C50" s="1">
        <f t="shared" si="0"/>
        <v>4.1287058017647009</v>
      </c>
      <c r="D50" s="29">
        <f t="shared" si="1"/>
        <v>19.749134399162315</v>
      </c>
    </row>
    <row r="51" spans="2:4" ht="19" x14ac:dyDescent="0.25">
      <c r="B51" s="29">
        <v>9.7500000000000003E-2</v>
      </c>
      <c r="C51" s="1">
        <f t="shared" si="0"/>
        <v>4.0361618776950712</v>
      </c>
      <c r="D51" s="29">
        <f t="shared" si="1"/>
        <v>19.891324005131722</v>
      </c>
    </row>
    <row r="52" spans="2:4" ht="19" x14ac:dyDescent="0.25">
      <c r="B52" s="29">
        <v>0.1</v>
      </c>
      <c r="C52" s="1">
        <f t="shared" si="0"/>
        <v>3.9426923911067457</v>
      </c>
      <c r="D52" s="29">
        <f t="shared" si="1"/>
        <v>20.033872580737707</v>
      </c>
    </row>
    <row r="53" spans="2:4" ht="19" x14ac:dyDescent="0.25">
      <c r="B53" s="29">
        <v>0.10249999999999999</v>
      </c>
      <c r="C53" s="1">
        <f t="shared" si="0"/>
        <v>3.8483002340863486</v>
      </c>
      <c r="D53" s="29">
        <f t="shared" si="1"/>
        <v>20.176775489846882</v>
      </c>
    </row>
    <row r="54" spans="2:4" ht="19" x14ac:dyDescent="0.25">
      <c r="B54" s="29">
        <v>0.105</v>
      </c>
      <c r="C54" s="1">
        <f t="shared" si="0"/>
        <v>3.7529884696321605</v>
      </c>
      <c r="D54" s="29">
        <f t="shared" si="1"/>
        <v>20.320028078427455</v>
      </c>
    </row>
    <row r="55" spans="2:4" ht="19" x14ac:dyDescent="0.25">
      <c r="B55" s="29">
        <v>0.1075</v>
      </c>
      <c r="C55" s="1">
        <f t="shared" si="0"/>
        <v>3.6567603325048128</v>
      </c>
      <c r="D55" s="29">
        <f t="shared" si="1"/>
        <v>20.463625675272482</v>
      </c>
    </row>
    <row r="56" spans="2:4" ht="19" x14ac:dyDescent="0.25">
      <c r="B56" s="29">
        <v>0.11</v>
      </c>
      <c r="C56" s="1">
        <f t="shared" si="0"/>
        <v>3.5596192300233271</v>
      </c>
      <c r="D56" s="29">
        <f t="shared" si="1"/>
        <v>20.607563592723508</v>
      </c>
    </row>
    <row r="57" spans="2:4" ht="19" x14ac:dyDescent="0.25">
      <c r="B57" s="29">
        <v>0.1125</v>
      </c>
      <c r="C57" s="1">
        <f t="shared" si="0"/>
        <v>3.4615687428054067</v>
      </c>
      <c r="D57" s="29">
        <f t="shared" si="1"/>
        <v>20.751837127394722</v>
      </c>
    </row>
    <row r="58" spans="2:4" ht="19" x14ac:dyDescent="0.25">
      <c r="B58" s="29">
        <v>0.115</v>
      </c>
      <c r="C58" s="1">
        <f t="shared" si="0"/>
        <v>3.3626126254511264</v>
      </c>
      <c r="D58" s="29">
        <f t="shared" si="1"/>
        <v>20.896441560897358</v>
      </c>
    </row>
    <row r="59" spans="2:4" ht="19" x14ac:dyDescent="0.25">
      <c r="B59" s="29">
        <v>0.11749999999999999</v>
      </c>
      <c r="C59" s="1">
        <f t="shared" si="0"/>
        <v>3.262754807168851</v>
      </c>
      <c r="D59" s="29">
        <f t="shared" si="1"/>
        <v>21.041372160563682</v>
      </c>
    </row>
    <row r="60" spans="2:4" ht="19" x14ac:dyDescent="0.25">
      <c r="B60" s="29">
        <v>0.12</v>
      </c>
      <c r="C60" s="1">
        <f t="shared" si="0"/>
        <v>3.1619993923425054</v>
      </c>
      <c r="D60" s="29">
        <f t="shared" si="1"/>
        <v>21.186624180171052</v>
      </c>
    </row>
    <row r="61" spans="2:4" ht="19" x14ac:dyDescent="0.25">
      <c r="B61" s="29">
        <v>0.1225</v>
      </c>
      <c r="C61" s="1">
        <f t="shared" si="0"/>
        <v>3.0603506610392701</v>
      </c>
      <c r="D61" s="29">
        <f t="shared" si="1"/>
        <v>21.332192860665465</v>
      </c>
    </row>
    <row r="62" spans="2:4" ht="19" x14ac:dyDescent="0.25">
      <c r="B62" s="29">
        <v>0.125</v>
      </c>
      <c r="C62" s="1">
        <f t="shared" si="0"/>
        <v>2.9578130694567486</v>
      </c>
      <c r="D62" s="29">
        <f t="shared" si="1"/>
        <v>21.478073430884415</v>
      </c>
    </row>
    <row r="63" spans="2:4" ht="19" x14ac:dyDescent="0.25">
      <c r="B63" s="29">
        <v>0.1275</v>
      </c>
      <c r="C63" s="1">
        <f t="shared" si="0"/>
        <v>2.8543912503087294</v>
      </c>
      <c r="D63" s="29">
        <f t="shared" si="1"/>
        <v>21.624261108278752</v>
      </c>
    </row>
    <row r="64" spans="2:4" ht="19" x14ac:dyDescent="0.25">
      <c r="B64" s="29">
        <v>0.13</v>
      </c>
      <c r="C64" s="1">
        <f t="shared" si="0"/>
        <v>2.7500900131487729</v>
      </c>
      <c r="D64" s="29">
        <f t="shared" si="1"/>
        <v>21.770751099633792</v>
      </c>
    </row>
    <row r="65" spans="2:4" ht="19" x14ac:dyDescent="0.25">
      <c r="B65" s="29">
        <v>0.13250000000000001</v>
      </c>
      <c r="C65" s="1">
        <f t="shared" si="0"/>
        <v>2.6449143446306924</v>
      </c>
      <c r="D65" s="29">
        <f t="shared" si="1"/>
        <v>21.917538601789076</v>
      </c>
    </row>
    <row r="66" spans="2:4" ht="19" x14ac:dyDescent="0.25">
      <c r="B66" s="29">
        <v>0.13500000000000001</v>
      </c>
      <c r="C66" s="1">
        <f t="shared" si="0"/>
        <v>2.5388694087052901</v>
      </c>
      <c r="D66" s="29">
        <f t="shared" si="1"/>
        <v>22.064618802356513</v>
      </c>
    </row>
    <row r="67" spans="2:4" ht="19" x14ac:dyDescent="0.25">
      <c r="B67" s="29">
        <v>0.13750000000000001</v>
      </c>
      <c r="C67" s="1">
        <f t="shared" si="0"/>
        <v>2.4319605467524767</v>
      </c>
      <c r="D67" s="29">
        <f t="shared" si="1"/>
        <v>22.211986880437301</v>
      </c>
    </row>
    <row r="68" spans="2:4" ht="19" x14ac:dyDescent="0.25">
      <c r="B68" s="29">
        <v>0.14000000000000001</v>
      </c>
      <c r="C68" s="1">
        <f t="shared" si="0"/>
        <v>2.3241932776481642</v>
      </c>
      <c r="D68" s="29">
        <f t="shared" si="1"/>
        <v>22.359638007336606</v>
      </c>
    </row>
    <row r="69" spans="2:4" ht="19" x14ac:dyDescent="0.25">
      <c r="B69" s="29">
        <v>0.14249999999999999</v>
      </c>
      <c r="C69" s="1">
        <f t="shared" si="0"/>
        <v>2.2155732977652121</v>
      </c>
      <c r="D69" s="29">
        <f t="shared" si="1"/>
        <v>22.507567347276549</v>
      </c>
    </row>
    <row r="70" spans="2:4" ht="19" x14ac:dyDescent="0.25">
      <c r="B70" s="29">
        <v>0.14499999999999999</v>
      </c>
      <c r="C70" s="1">
        <f t="shared" si="0"/>
        <v>2.106106480907826</v>
      </c>
      <c r="D70" s="29">
        <f t="shared" si="1"/>
        <v>22.655770058106917</v>
      </c>
    </row>
    <row r="71" spans="2:4" ht="19" x14ac:dyDescent="0.25">
      <c r="B71" s="29">
        <v>0.14749999999999999</v>
      </c>
      <c r="C71" s="1">
        <f t="shared" si="0"/>
        <v>1.9957988781787834</v>
      </c>
      <c r="D71" s="29">
        <f t="shared" si="1"/>
        <v>22.804241292013515</v>
      </c>
    </row>
    <row r="72" spans="2:4" ht="19" x14ac:dyDescent="0.25">
      <c r="B72" s="29">
        <v>0.15</v>
      </c>
      <c r="C72" s="1">
        <f t="shared" si="0"/>
        <v>1.8846567177789841</v>
      </c>
      <c r="D72" s="29">
        <f t="shared" si="1"/>
        <v>22.952976196223929</v>
      </c>
    </row>
    <row r="73" spans="2:4" ht="19" x14ac:dyDescent="0.25">
      <c r="B73" s="29">
        <v>0.1525</v>
      </c>
      <c r="C73" s="1">
        <f t="shared" si="0"/>
        <v>1.7726864047387367</v>
      </c>
      <c r="D73" s="29">
        <f t="shared" si="1"/>
        <v>23.101969913710683</v>
      </c>
    </row>
    <row r="74" spans="2:4" ht="19" x14ac:dyDescent="0.25">
      <c r="B74" s="29">
        <v>0.155</v>
      </c>
      <c r="C74" s="1">
        <f t="shared" si="0"/>
        <v>1.6598945205803959</v>
      </c>
      <c r="D74" s="29">
        <f t="shared" si="1"/>
        <v>23.251217583891261</v>
      </c>
    </row>
    <row r="75" spans="2:4" ht="19" x14ac:dyDescent="0.25">
      <c r="B75" s="29">
        <v>0.1575</v>
      </c>
      <c r="C75" s="1">
        <f t="shared" si="0"/>
        <v>1.5462878229118535</v>
      </c>
      <c r="D75" s="29">
        <f t="shared" si="1"/>
        <v>23.400714343325426</v>
      </c>
    </row>
    <row r="76" spans="2:4" ht="19" x14ac:dyDescent="0.25">
      <c r="B76" s="29">
        <v>0.16</v>
      </c>
      <c r="C76" s="1">
        <f t="shared" si="0"/>
        <v>1.4318732449505172</v>
      </c>
      <c r="D76" s="29">
        <f t="shared" si="1"/>
        <v>23.550455326408837</v>
      </c>
    </row>
    <row r="77" spans="2:4" ht="19" x14ac:dyDescent="0.25">
      <c r="B77" s="29">
        <v>0.16250000000000001</v>
      </c>
      <c r="C77" s="1">
        <f t="shared" si="0"/>
        <v>1.3166578949774372</v>
      </c>
      <c r="D77" s="29">
        <f t="shared" si="1"/>
        <v>23.700435666063633</v>
      </c>
    </row>
    <row r="78" spans="2:4" ht="19" x14ac:dyDescent="0.25">
      <c r="B78" s="29">
        <v>0.16500000000000001</v>
      </c>
      <c r="C78" s="1">
        <f t="shared" si="0"/>
        <v>1.2006490557212757</v>
      </c>
      <c r="D78" s="29">
        <f t="shared" si="1"/>
        <v>23.850650494425132</v>
      </c>
    </row>
    <row r="79" spans="2:4" ht="19" x14ac:dyDescent="0.25">
      <c r="B79" s="29">
        <v>0.16750000000000001</v>
      </c>
      <c r="C79" s="1">
        <f t="shared" si="0"/>
        <v>1.0838541836718332</v>
      </c>
      <c r="D79" s="29">
        <f t="shared" si="1"/>
        <v>24.001094943525032</v>
      </c>
    </row>
    <row r="80" spans="2:4" ht="19" x14ac:dyDescent="0.25">
      <c r="B80" s="29">
        <v>0.17</v>
      </c>
      <c r="C80" s="1">
        <f t="shared" si="0"/>
        <v>0.96628090832296476</v>
      </c>
      <c r="D80" s="29">
        <f t="shared" si="1"/>
        <v>24.151764145970326</v>
      </c>
    </row>
    <row r="81" spans="2:4" ht="19" x14ac:dyDescent="0.25">
      <c r="B81" s="29">
        <v>0.17249999999999999</v>
      </c>
      <c r="C81" s="1">
        <f t="shared" ref="C81:C112" si="2">lookbackOptionCon($C$1,$C$2,$C$3,$B81,$C$5,$C$6,$C$8,$C$9,"put")</f>
        <v>0.84793703134466947</v>
      </c>
      <c r="D81" s="29">
        <f t="shared" ref="D81:D112" si="3">BS_put($C$1,$C$2,$C$3,$C$5,$B81,$C$6)</f>
        <v>24.302653235618578</v>
      </c>
    </row>
    <row r="82" spans="2:4" ht="19" x14ac:dyDescent="0.25">
      <c r="B82" s="29">
        <v>0.17499999999999999</v>
      </c>
      <c r="C82" s="1">
        <f t="shared" si="2"/>
        <v>0.72883052568424356</v>
      </c>
      <c r="D82" s="29">
        <f t="shared" si="3"/>
        <v>24.453757348248587</v>
      </c>
    </row>
    <row r="83" spans="2:4" ht="19" x14ac:dyDescent="0.25">
      <c r="B83" s="29">
        <v>0.17749999999999999</v>
      </c>
      <c r="C83" s="1">
        <f t="shared" si="2"/>
        <v>0.60896953459642922</v>
      </c>
      <c r="D83" s="29">
        <f t="shared" si="3"/>
        <v>24.605071622226816</v>
      </c>
    </row>
    <row r="84" spans="2:4" ht="19" x14ac:dyDescent="0.25">
      <c r="B84" s="29">
        <v>0.18</v>
      </c>
      <c r="C84" s="1">
        <f t="shared" si="2"/>
        <v>0.48836237060252385</v>
      </c>
      <c r="D84" s="29">
        <f t="shared" si="3"/>
        <v>24.756591199169122</v>
      </c>
    </row>
    <row r="85" spans="2:4" ht="19" x14ac:dyDescent="0.25">
      <c r="B85" s="29">
        <v>0.1825</v>
      </c>
      <c r="C85" s="1">
        <f t="shared" si="2"/>
        <v>0.3670175143784174</v>
      </c>
      <c r="D85" s="29">
        <f t="shared" si="3"/>
        <v>24.908311224598023</v>
      </c>
    </row>
    <row r="86" spans="2:4" ht="19" x14ac:dyDescent="0.25">
      <c r="B86" s="29">
        <v>0.185</v>
      </c>
      <c r="C86" s="1">
        <f t="shared" si="2"/>
        <v>0.24494361357167635</v>
      </c>
      <c r="D86" s="29">
        <f t="shared" si="3"/>
        <v>25.060226848594887</v>
      </c>
    </row>
    <row r="87" spans="2:4" ht="19" x14ac:dyDescent="0.25">
      <c r="B87" s="29">
        <v>0.1875</v>
      </c>
      <c r="C87" s="1">
        <f t="shared" si="2"/>
        <v>0.12214948154774558</v>
      </c>
      <c r="D87" s="29">
        <f t="shared" si="3"/>
        <v>25.212333226447072</v>
      </c>
    </row>
    <row r="88" spans="2:4" ht="19" x14ac:dyDescent="0.25">
      <c r="B88" s="29">
        <v>0.19</v>
      </c>
      <c r="C88" s="1">
        <f t="shared" si="2"/>
        <v>-1.3559039345788536E-3</v>
      </c>
      <c r="D88" s="29">
        <f t="shared" si="3"/>
        <v>25.364625519290115</v>
      </c>
    </row>
    <row r="89" spans="2:4" ht="19" x14ac:dyDescent="0.25">
      <c r="B89" s="29">
        <v>0.1925</v>
      </c>
      <c r="C89" s="1">
        <f t="shared" si="2"/>
        <v>-0.12556340211820147</v>
      </c>
      <c r="D89" s="29">
        <f t="shared" si="3"/>
        <v>25.517098894744464</v>
      </c>
    </row>
    <row r="90" spans="2:4" ht="19" x14ac:dyDescent="0.25">
      <c r="B90" s="29">
        <v>0.19500000000000001</v>
      </c>
      <c r="C90" s="1">
        <f t="shared" si="2"/>
        <v>-0.2504637107130791</v>
      </c>
      <c r="D90" s="29">
        <f t="shared" si="3"/>
        <v>25.669748527546851</v>
      </c>
    </row>
    <row r="91" spans="2:4" ht="19" x14ac:dyDescent="0.25">
      <c r="B91" s="29">
        <v>0.19750000000000001</v>
      </c>
      <c r="C91" s="1">
        <f t="shared" si="2"/>
        <v>-0.37604736743153266</v>
      </c>
      <c r="D91" s="29">
        <f t="shared" si="3"/>
        <v>25.822569600176067</v>
      </c>
    </row>
    <row r="92" spans="2:4" ht="19" x14ac:dyDescent="0.25">
      <c r="B92" s="29">
        <v>0.2</v>
      </c>
      <c r="C92" s="1">
        <f t="shared" si="2"/>
        <v>-0.50230475159325016</v>
      </c>
      <c r="D92" s="29">
        <f t="shared" si="3"/>
        <v>25.975557303473039</v>
      </c>
    </row>
    <row r="93" spans="2:4" ht="19" x14ac:dyDescent="0.25">
      <c r="B93" s="29">
        <v>0.20250000000000001</v>
      </c>
      <c r="C93" s="1">
        <f t="shared" si="2"/>
        <v>-0.62922608579954065</v>
      </c>
      <c r="D93" s="29">
        <f t="shared" si="3"/>
        <v>26.128706837255031</v>
      </c>
    </row>
    <row r="94" spans="2:4" ht="19" x14ac:dyDescent="0.25">
      <c r="B94" s="29">
        <v>0.20499999999999999</v>
      </c>
      <c r="C94" s="1">
        <f t="shared" si="2"/>
        <v>-0.75680143767641295</v>
      </c>
      <c r="D94" s="29">
        <f t="shared" si="3"/>
        <v>26.282013410923888</v>
      </c>
    </row>
    <row r="95" spans="2:4" ht="19" x14ac:dyDescent="0.25">
      <c r="B95" s="29">
        <v>0.20749999999999999</v>
      </c>
      <c r="C95" s="1">
        <f t="shared" si="2"/>
        <v>-0.88502072168605739</v>
      </c>
      <c r="D95" s="29">
        <f t="shared" si="3"/>
        <v>26.43547224406835</v>
      </c>
    </row>
    <row r="96" spans="2:4" ht="19" x14ac:dyDescent="0.25">
      <c r="B96" s="29">
        <v>0.21</v>
      </c>
      <c r="C96" s="1">
        <f t="shared" si="2"/>
        <v>-1.0138737010061112</v>
      </c>
      <c r="D96" s="29">
        <f t="shared" si="3"/>
        <v>26.589078567059943</v>
      </c>
    </row>
    <row r="97" spans="2:4" ht="19" x14ac:dyDescent="0.25">
      <c r="B97" s="29">
        <v>0.21249999999999999</v>
      </c>
      <c r="C97" s="1">
        <f t="shared" si="2"/>
        <v>-1.1433499894762156</v>
      </c>
      <c r="D97" s="29">
        <f t="shared" si="3"/>
        <v>26.742827621642647</v>
      </c>
    </row>
    <row r="98" spans="2:4" ht="19" x14ac:dyDescent="0.25">
      <c r="B98" s="29">
        <v>0.215</v>
      </c>
      <c r="C98" s="1">
        <f t="shared" si="2"/>
        <v>-1.2734390536112306</v>
      </c>
      <c r="D98" s="29">
        <f t="shared" si="3"/>
        <v>26.896714661516029</v>
      </c>
    </row>
    <row r="99" spans="2:4" ht="19" x14ac:dyDescent="0.25">
      <c r="B99" s="29">
        <v>0.2175</v>
      </c>
      <c r="C99" s="1">
        <f t="shared" si="2"/>
        <v>-1.4041302146803947</v>
      </c>
      <c r="D99" s="29">
        <f t="shared" si="3"/>
        <v>27.050734952912144</v>
      </c>
    </row>
    <row r="100" spans="2:4" ht="19" x14ac:dyDescent="0.25">
      <c r="B100" s="29">
        <v>0.22</v>
      </c>
      <c r="C100" s="1">
        <f t="shared" si="2"/>
        <v>-1.5354126508518022</v>
      </c>
      <c r="D100" s="29">
        <f t="shared" si="3"/>
        <v>27.204883775165307</v>
      </c>
    </row>
    <row r="101" spans="2:4" ht="19" x14ac:dyDescent="0.25">
      <c r="B101" s="29">
        <v>0.2225</v>
      </c>
      <c r="C101" s="1">
        <f t="shared" si="2"/>
        <v>-1.6672753994013836</v>
      </c>
      <c r="D101" s="29">
        <f t="shared" si="3"/>
        <v>27.359156421275372</v>
      </c>
    </row>
    <row r="102" spans="2:4" ht="19" x14ac:dyDescent="0.25">
      <c r="B102" s="29">
        <v>0.22500000000000001</v>
      </c>
      <c r="C102" s="1">
        <f t="shared" si="2"/>
        <v>-1.7997073589855961</v>
      </c>
      <c r="D102" s="29">
        <f t="shared" si="3"/>
        <v>27.513548198464193</v>
      </c>
    </row>
    <row r="103" spans="2:4" ht="19" x14ac:dyDescent="0.25">
      <c r="B103" s="29">
        <v>0.22750000000000001</v>
      </c>
      <c r="C103" s="1">
        <f t="shared" si="2"/>
        <v>-1.9326972919770335</v>
      </c>
      <c r="D103" s="29">
        <f t="shared" si="3"/>
        <v>27.668054428724915</v>
      </c>
    </row>
    <row r="104" spans="2:4" ht="19" x14ac:dyDescent="0.25">
      <c r="B104" s="29">
        <v>0.23</v>
      </c>
      <c r="C104" s="1">
        <f t="shared" si="2"/>
        <v>-2.0662338268620024</v>
      </c>
      <c r="D104" s="29">
        <f t="shared" si="3"/>
        <v>27.822670449364324</v>
      </c>
    </row>
    <row r="105" spans="2:4" ht="19" x14ac:dyDescent="0.25">
      <c r="B105" s="29">
        <v>0.23250000000000001</v>
      </c>
      <c r="C105" s="1">
        <f t="shared" si="2"/>
        <v>-2.2003054606991985</v>
      </c>
      <c r="D105" s="29">
        <f t="shared" si="3"/>
        <v>27.977391613538153</v>
      </c>
    </row>
    <row r="106" spans="2:4" ht="19" x14ac:dyDescent="0.25">
      <c r="B106" s="29">
        <v>0.23499999999999999</v>
      </c>
      <c r="C106" s="1">
        <f t="shared" si="2"/>
        <v>-2.3349005616384511</v>
      </c>
      <c r="D106" s="29">
        <f t="shared" si="3"/>
        <v>28.132213290778765</v>
      </c>
    </row>
    <row r="107" spans="2:4" ht="19" x14ac:dyDescent="0.25">
      <c r="B107" s="29">
        <v>0.23749999999999999</v>
      </c>
      <c r="C107" s="1">
        <f t="shared" si="2"/>
        <v>-2.4700073714985722</v>
      </c>
      <c r="D107" s="29">
        <f t="shared" si="3"/>
        <v>28.287130867515913</v>
      </c>
    </row>
    <row r="108" spans="2:4" ht="19" x14ac:dyDescent="0.25">
      <c r="B108" s="29">
        <v>0.24</v>
      </c>
      <c r="C108" s="1">
        <f t="shared" si="2"/>
        <v>-2.6056140084032497</v>
      </c>
      <c r="D108" s="29">
        <f t="shared" si="3"/>
        <v>28.442139747589906</v>
      </c>
    </row>
    <row r="109" spans="2:4" ht="19" x14ac:dyDescent="0.25">
      <c r="B109" s="29">
        <v>0.24249999999999999</v>
      </c>
      <c r="C109" s="1">
        <f t="shared" si="2"/>
        <v>-2.7417084694738589</v>
      </c>
      <c r="D109" s="29">
        <f t="shared" si="3"/>
        <v>28.597235352757203</v>
      </c>
    </row>
    <row r="110" spans="2:4" ht="19" x14ac:dyDescent="0.25">
      <c r="B110" s="29">
        <v>0.245</v>
      </c>
      <c r="C110" s="1">
        <f t="shared" si="2"/>
        <v>-2.8782786335780934</v>
      </c>
      <c r="D110" s="29">
        <f t="shared" si="3"/>
        <v>28.752413123188532</v>
      </c>
    </row>
    <row r="111" spans="2:4" ht="19" x14ac:dyDescent="0.25">
      <c r="B111" s="29">
        <v>0.2475</v>
      </c>
      <c r="C111" s="1">
        <f t="shared" si="2"/>
        <v>-3.0153122641332391</v>
      </c>
      <c r="D111" s="29">
        <f t="shared" si="3"/>
        <v>28.907668517959401</v>
      </c>
    </row>
    <row r="112" spans="2:4" ht="19" x14ac:dyDescent="0.25">
      <c r="B112" s="29">
        <v>0.25</v>
      </c>
      <c r="C112" s="1">
        <f t="shared" si="2"/>
        <v>-3.1527970119628446</v>
      </c>
      <c r="D112" s="29">
        <f t="shared" si="3"/>
        <v>29.062997015532694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R3:AK42"/>
  <sheetViews>
    <sheetView zoomScaleNormal="100" workbookViewId="0">
      <selection activeCell="B39" sqref="B39"/>
    </sheetView>
  </sheetViews>
  <sheetFormatPr baseColWidth="10" defaultColWidth="8.83203125" defaultRowHeight="15" x14ac:dyDescent="0.2"/>
  <cols>
    <col min="18" max="18" width="28.6640625" bestFit="1" customWidth="1"/>
    <col min="19" max="19" width="6.83203125" customWidth="1"/>
    <col min="22" max="22" width="28.6640625" bestFit="1" customWidth="1"/>
    <col min="29" max="29" width="4.83203125" bestFit="1" customWidth="1"/>
    <col min="30" max="30" width="32.5" bestFit="1" customWidth="1"/>
    <col min="35" max="35" width="32.5" bestFit="1" customWidth="1"/>
  </cols>
  <sheetData>
    <row r="3" spans="18:37" x14ac:dyDescent="0.2">
      <c r="R3" t="s">
        <v>0</v>
      </c>
      <c r="S3">
        <v>100</v>
      </c>
      <c r="T3">
        <v>50</v>
      </c>
    </row>
    <row r="4" spans="18:37" x14ac:dyDescent="0.2">
      <c r="R4" t="s">
        <v>3</v>
      </c>
      <c r="S4">
        <v>110</v>
      </c>
      <c r="T4">
        <v>50</v>
      </c>
    </row>
    <row r="5" spans="18:37" x14ac:dyDescent="0.2">
      <c r="R5" t="s">
        <v>4</v>
      </c>
      <c r="S5">
        <v>0.05</v>
      </c>
      <c r="T5">
        <v>0.1</v>
      </c>
    </row>
    <row r="6" spans="18:37" x14ac:dyDescent="0.2">
      <c r="R6" t="s">
        <v>1</v>
      </c>
      <c r="S6">
        <v>0</v>
      </c>
      <c r="T6">
        <v>0</v>
      </c>
    </row>
    <row r="7" spans="18:37" x14ac:dyDescent="0.2">
      <c r="R7" t="s">
        <v>5</v>
      </c>
      <c r="S7">
        <v>0.3</v>
      </c>
      <c r="T7">
        <v>0.4</v>
      </c>
    </row>
    <row r="8" spans="18:37" x14ac:dyDescent="0.2">
      <c r="R8" t="s">
        <v>2</v>
      </c>
      <c r="S8">
        <v>1</v>
      </c>
      <c r="T8">
        <v>0.25</v>
      </c>
    </row>
    <row r="10" spans="18:37" x14ac:dyDescent="0.2">
      <c r="R10" t="s">
        <v>13</v>
      </c>
      <c r="S10">
        <v>0.99999899999999997</v>
      </c>
      <c r="T10">
        <v>0</v>
      </c>
    </row>
    <row r="11" spans="18:37" x14ac:dyDescent="0.2">
      <c r="R11" t="s">
        <v>6</v>
      </c>
      <c r="S11">
        <v>110</v>
      </c>
      <c r="T11">
        <v>50</v>
      </c>
    </row>
    <row r="14" spans="18:37" x14ac:dyDescent="0.2">
      <c r="R14" t="s">
        <v>21</v>
      </c>
      <c r="S14">
        <f>S8-S10</f>
        <v>1.0000000000287557E-6</v>
      </c>
      <c r="V14" t="s">
        <v>21</v>
      </c>
      <c r="AC14" t="s">
        <v>34</v>
      </c>
      <c r="AD14" t="s">
        <v>21</v>
      </c>
      <c r="AE14" t="s">
        <v>35</v>
      </c>
      <c r="AF14" t="s">
        <v>36</v>
      </c>
      <c r="AH14" t="s">
        <v>34</v>
      </c>
      <c r="AI14" t="s">
        <v>21</v>
      </c>
      <c r="AJ14" t="s">
        <v>35</v>
      </c>
      <c r="AK14" t="s">
        <v>36</v>
      </c>
    </row>
    <row r="15" spans="18:37" x14ac:dyDescent="0.2">
      <c r="V15" t="s">
        <v>23</v>
      </c>
      <c r="AH15" t="s">
        <v>34</v>
      </c>
      <c r="AI15" t="s">
        <v>23</v>
      </c>
      <c r="AJ15" t="s">
        <v>35</v>
      </c>
      <c r="AK15" t="s">
        <v>36</v>
      </c>
    </row>
    <row r="16" spans="18:37" x14ac:dyDescent="0.2">
      <c r="R16" t="s">
        <v>7</v>
      </c>
      <c r="S16">
        <f>S3*EXP(-S6*S14)</f>
        <v>100</v>
      </c>
      <c r="V16" t="s">
        <v>24</v>
      </c>
      <c r="AC16" t="s">
        <v>34</v>
      </c>
      <c r="AD16" t="s">
        <v>7</v>
      </c>
      <c r="AE16" t="s">
        <v>35</v>
      </c>
      <c r="AF16" t="s">
        <v>36</v>
      </c>
      <c r="AH16" t="s">
        <v>34</v>
      </c>
      <c r="AI16" t="s">
        <v>24</v>
      </c>
      <c r="AJ16" t="s">
        <v>35</v>
      </c>
      <c r="AK16" t="s">
        <v>36</v>
      </c>
    </row>
    <row r="17" spans="18:37" x14ac:dyDescent="0.2">
      <c r="R17" t="s">
        <v>28</v>
      </c>
      <c r="S17">
        <f>LOG(S3/S4)+(S5-S6+S7^2)*S14/S20</f>
        <v>-4.0926018491551683E-2</v>
      </c>
      <c r="AC17" t="s">
        <v>34</v>
      </c>
      <c r="AD17" t="s">
        <v>28</v>
      </c>
      <c r="AE17" t="s">
        <v>35</v>
      </c>
      <c r="AF17" t="s">
        <v>36</v>
      </c>
    </row>
    <row r="18" spans="18:37" x14ac:dyDescent="0.2">
      <c r="R18" t="s">
        <v>8</v>
      </c>
      <c r="S18">
        <f>NORMSDIST(S17)</f>
        <v>0.48367743753175368</v>
      </c>
      <c r="V18" t="s">
        <v>7</v>
      </c>
      <c r="AC18" t="s">
        <v>34</v>
      </c>
      <c r="AD18" t="s">
        <v>8</v>
      </c>
      <c r="AE18" t="s">
        <v>35</v>
      </c>
      <c r="AF18" t="s">
        <v>36</v>
      </c>
      <c r="AH18" t="s">
        <v>34</v>
      </c>
      <c r="AI18" t="s">
        <v>7</v>
      </c>
      <c r="AJ18" t="s">
        <v>35</v>
      </c>
      <c r="AK18" t="s">
        <v>36</v>
      </c>
    </row>
    <row r="19" spans="18:37" x14ac:dyDescent="0.2">
      <c r="R19" t="s">
        <v>9</v>
      </c>
      <c r="S19">
        <f>S4*EXP(-S5*S14)</f>
        <v>109.99999450000014</v>
      </c>
      <c r="V19" t="s">
        <v>27</v>
      </c>
      <c r="AC19" t="s">
        <v>34</v>
      </c>
      <c r="AD19" t="s">
        <v>9</v>
      </c>
      <c r="AE19" t="s">
        <v>35</v>
      </c>
      <c r="AF19" t="s">
        <v>36</v>
      </c>
      <c r="AH19" t="s">
        <v>34</v>
      </c>
      <c r="AI19" t="s">
        <v>27</v>
      </c>
      <c r="AJ19" t="s">
        <v>35</v>
      </c>
      <c r="AK19" t="s">
        <v>36</v>
      </c>
    </row>
    <row r="20" spans="18:37" x14ac:dyDescent="0.2">
      <c r="R20" t="s">
        <v>22</v>
      </c>
      <c r="S20">
        <f>S7*SQRT(S14)</f>
        <v>3.0000000000431336E-4</v>
      </c>
      <c r="V20" t="s">
        <v>8</v>
      </c>
      <c r="AC20" t="s">
        <v>34</v>
      </c>
      <c r="AD20" t="s">
        <v>22</v>
      </c>
      <c r="AE20" t="s">
        <v>35</v>
      </c>
      <c r="AF20" t="s">
        <v>36</v>
      </c>
      <c r="AH20" t="s">
        <v>34</v>
      </c>
      <c r="AI20" t="s">
        <v>8</v>
      </c>
      <c r="AJ20" t="s">
        <v>35</v>
      </c>
      <c r="AK20" t="s">
        <v>36</v>
      </c>
    </row>
    <row r="21" spans="18:37" x14ac:dyDescent="0.2">
      <c r="R21" t="s">
        <v>10</v>
      </c>
      <c r="S21">
        <f>S17-S20</f>
        <v>-4.1226018491555994E-2</v>
      </c>
      <c r="AC21" t="s">
        <v>34</v>
      </c>
      <c r="AD21" t="s">
        <v>10</v>
      </c>
      <c r="AE21" t="s">
        <v>35</v>
      </c>
      <c r="AF21" t="s">
        <v>36</v>
      </c>
    </row>
    <row r="22" spans="18:37" x14ac:dyDescent="0.2">
      <c r="R22" t="s">
        <v>11</v>
      </c>
      <c r="S22">
        <f>NORMSDIST(S21)</f>
        <v>0.48355785577216626</v>
      </c>
      <c r="V22" t="s">
        <v>25</v>
      </c>
      <c r="AC22" t="s">
        <v>34</v>
      </c>
      <c r="AD22" t="s">
        <v>11</v>
      </c>
      <c r="AE22" t="s">
        <v>35</v>
      </c>
      <c r="AF22" t="s">
        <v>36</v>
      </c>
      <c r="AH22" t="s">
        <v>34</v>
      </c>
      <c r="AI22" t="s">
        <v>25</v>
      </c>
      <c r="AJ22" t="s">
        <v>35</v>
      </c>
      <c r="AK22" t="s">
        <v>36</v>
      </c>
    </row>
    <row r="23" spans="18:37" x14ac:dyDescent="0.2">
      <c r="V23" t="s">
        <v>10</v>
      </c>
      <c r="AH23" t="s">
        <v>34</v>
      </c>
      <c r="AI23" t="s">
        <v>10</v>
      </c>
      <c r="AJ23" t="s">
        <v>35</v>
      </c>
      <c r="AK23" t="s">
        <v>36</v>
      </c>
    </row>
    <row r="24" spans="18:37" x14ac:dyDescent="0.2">
      <c r="R24" t="s">
        <v>12</v>
      </c>
      <c r="S24">
        <f>S3*EXP(-S5*S14)</f>
        <v>99.999995000000126</v>
      </c>
      <c r="V24" t="s">
        <v>11</v>
      </c>
      <c r="AC24" t="s">
        <v>34</v>
      </c>
      <c r="AD24" t="s">
        <v>12</v>
      </c>
      <c r="AE24" t="s">
        <v>35</v>
      </c>
      <c r="AF24" t="s">
        <v>36</v>
      </c>
      <c r="AH24" t="s">
        <v>34</v>
      </c>
      <c r="AI24" t="s">
        <v>11</v>
      </c>
      <c r="AJ24" t="s">
        <v>35</v>
      </c>
      <c r="AK24" t="s">
        <v>36</v>
      </c>
    </row>
    <row r="25" spans="18:37" x14ac:dyDescent="0.2">
      <c r="R25" t="s">
        <v>14</v>
      </c>
      <c r="AC25" t="s">
        <v>34</v>
      </c>
      <c r="AD25" t="s">
        <v>14</v>
      </c>
      <c r="AE25" t="s">
        <v>35</v>
      </c>
      <c r="AF25" t="s">
        <v>36</v>
      </c>
    </row>
    <row r="26" spans="18:37" x14ac:dyDescent="0.2">
      <c r="V26" t="s">
        <v>12</v>
      </c>
      <c r="AH26" t="s">
        <v>34</v>
      </c>
      <c r="AI26" t="s">
        <v>12</v>
      </c>
      <c r="AJ26" t="s">
        <v>35</v>
      </c>
      <c r="AK26" t="s">
        <v>36</v>
      </c>
    </row>
    <row r="27" spans="18:37" x14ac:dyDescent="0.2">
      <c r="V27" t="s">
        <v>14</v>
      </c>
      <c r="AH27" t="s">
        <v>34</v>
      </c>
      <c r="AI27" t="s">
        <v>14</v>
      </c>
      <c r="AJ27" t="s">
        <v>35</v>
      </c>
      <c r="AK27" t="s">
        <v>36</v>
      </c>
    </row>
    <row r="28" spans="18:37" x14ac:dyDescent="0.2">
      <c r="R28" t="s">
        <v>15</v>
      </c>
      <c r="AC28" t="s">
        <v>34</v>
      </c>
      <c r="AD28" t="s">
        <v>15</v>
      </c>
      <c r="AE28" t="s">
        <v>35</v>
      </c>
      <c r="AF28" t="s">
        <v>36</v>
      </c>
    </row>
    <row r="29" spans="18:37" x14ac:dyDescent="0.2">
      <c r="R29" t="s">
        <v>16</v>
      </c>
      <c r="AC29" t="s">
        <v>34</v>
      </c>
      <c r="AD29" t="s">
        <v>16</v>
      </c>
      <c r="AE29" t="s">
        <v>35</v>
      </c>
      <c r="AF29" t="s">
        <v>36</v>
      </c>
    </row>
    <row r="30" spans="18:37" x14ac:dyDescent="0.2">
      <c r="R30" t="s">
        <v>28</v>
      </c>
      <c r="V30" t="s">
        <v>26</v>
      </c>
      <c r="AC30" t="s">
        <v>34</v>
      </c>
      <c r="AD30" t="s">
        <v>28</v>
      </c>
      <c r="AE30" t="s">
        <v>35</v>
      </c>
      <c r="AF30" t="s">
        <v>36</v>
      </c>
      <c r="AH30" t="s">
        <v>34</v>
      </c>
      <c r="AI30" t="s">
        <v>26</v>
      </c>
      <c r="AJ30" t="s">
        <v>35</v>
      </c>
      <c r="AK30" t="s">
        <v>36</v>
      </c>
    </row>
    <row r="31" spans="18:37" x14ac:dyDescent="0.2">
      <c r="R31" t="s">
        <v>17</v>
      </c>
      <c r="V31" t="s">
        <v>16</v>
      </c>
      <c r="AC31" t="s">
        <v>34</v>
      </c>
      <c r="AD31" t="s">
        <v>17</v>
      </c>
      <c r="AE31" t="s">
        <v>35</v>
      </c>
      <c r="AF31" t="s">
        <v>36</v>
      </c>
      <c r="AH31" t="s">
        <v>34</v>
      </c>
      <c r="AI31" t="s">
        <v>16</v>
      </c>
      <c r="AJ31" t="s">
        <v>35</v>
      </c>
      <c r="AK31" t="s">
        <v>36</v>
      </c>
    </row>
    <row r="32" spans="18:37" x14ac:dyDescent="0.2">
      <c r="R32" t="s">
        <v>19</v>
      </c>
      <c r="V32" t="s">
        <v>27</v>
      </c>
      <c r="AC32" t="s">
        <v>34</v>
      </c>
      <c r="AD32" t="s">
        <v>19</v>
      </c>
      <c r="AE32" t="s">
        <v>35</v>
      </c>
      <c r="AF32" t="s">
        <v>36</v>
      </c>
      <c r="AH32" t="s">
        <v>34</v>
      </c>
      <c r="AI32" t="s">
        <v>27</v>
      </c>
      <c r="AJ32" t="s">
        <v>35</v>
      </c>
      <c r="AK32" t="s">
        <v>36</v>
      </c>
    </row>
    <row r="33" spans="18:37" x14ac:dyDescent="0.2">
      <c r="R33" t="s">
        <v>20</v>
      </c>
      <c r="V33" t="s">
        <v>17</v>
      </c>
      <c r="AC33" t="s">
        <v>34</v>
      </c>
      <c r="AD33" t="s">
        <v>20</v>
      </c>
      <c r="AE33" t="s">
        <v>35</v>
      </c>
      <c r="AF33" t="s">
        <v>36</v>
      </c>
      <c r="AH33" t="s">
        <v>34</v>
      </c>
      <c r="AI33" t="s">
        <v>17</v>
      </c>
      <c r="AJ33" t="s">
        <v>35</v>
      </c>
      <c r="AK33" t="s">
        <v>36</v>
      </c>
    </row>
    <row r="34" spans="18:37" x14ac:dyDescent="0.2">
      <c r="R34" t="s">
        <v>18</v>
      </c>
      <c r="V34" t="s">
        <v>19</v>
      </c>
      <c r="AC34" t="s">
        <v>34</v>
      </c>
      <c r="AD34" t="s">
        <v>18</v>
      </c>
      <c r="AE34" t="s">
        <v>35</v>
      </c>
      <c r="AF34" t="s">
        <v>36</v>
      </c>
      <c r="AH34" t="s">
        <v>34</v>
      </c>
      <c r="AI34" t="s">
        <v>19</v>
      </c>
      <c r="AJ34" t="s">
        <v>35</v>
      </c>
      <c r="AK34" t="s">
        <v>36</v>
      </c>
    </row>
    <row r="35" spans="18:37" x14ac:dyDescent="0.2">
      <c r="R35" t="s">
        <v>28</v>
      </c>
      <c r="V35" t="s">
        <v>20</v>
      </c>
      <c r="AC35" t="s">
        <v>34</v>
      </c>
      <c r="AD35" t="s">
        <v>28</v>
      </c>
      <c r="AE35" t="s">
        <v>35</v>
      </c>
      <c r="AF35" t="s">
        <v>36</v>
      </c>
      <c r="AH35" t="s">
        <v>34</v>
      </c>
      <c r="AI35" t="s">
        <v>20</v>
      </c>
      <c r="AJ35" t="s">
        <v>35</v>
      </c>
      <c r="AK35" t="s">
        <v>36</v>
      </c>
    </row>
    <row r="36" spans="18:37" x14ac:dyDescent="0.2">
      <c r="R36" t="s">
        <v>8</v>
      </c>
      <c r="V36" t="s">
        <v>18</v>
      </c>
      <c r="AC36" t="s">
        <v>34</v>
      </c>
      <c r="AD36" t="s">
        <v>8</v>
      </c>
      <c r="AE36" t="s">
        <v>35</v>
      </c>
      <c r="AF36" t="s">
        <v>36</v>
      </c>
      <c r="AH36" t="s">
        <v>34</v>
      </c>
      <c r="AI36" t="s">
        <v>18</v>
      </c>
      <c r="AJ36" t="s">
        <v>35</v>
      </c>
      <c r="AK36" t="s">
        <v>36</v>
      </c>
    </row>
    <row r="37" spans="18:37" x14ac:dyDescent="0.2">
      <c r="V37" t="s">
        <v>27</v>
      </c>
      <c r="AH37" t="s">
        <v>34</v>
      </c>
      <c r="AI37" t="s">
        <v>27</v>
      </c>
      <c r="AJ37" t="s">
        <v>35</v>
      </c>
      <c r="AK37" t="s">
        <v>36</v>
      </c>
    </row>
    <row r="38" spans="18:37" x14ac:dyDescent="0.2">
      <c r="V38" t="s">
        <v>8</v>
      </c>
      <c r="AH38" t="s">
        <v>34</v>
      </c>
      <c r="AI38" t="s">
        <v>8</v>
      </c>
      <c r="AJ38" t="s">
        <v>35</v>
      </c>
      <c r="AK38" t="s">
        <v>36</v>
      </c>
    </row>
    <row r="40" spans="18:37" x14ac:dyDescent="0.2">
      <c r="R40" t="s">
        <v>29</v>
      </c>
      <c r="V40" t="s">
        <v>29</v>
      </c>
      <c r="AC40" t="s">
        <v>34</v>
      </c>
      <c r="AD40" t="s">
        <v>29</v>
      </c>
      <c r="AE40" t="s">
        <v>35</v>
      </c>
      <c r="AF40" t="s">
        <v>36</v>
      </c>
      <c r="AH40" t="s">
        <v>34</v>
      </c>
      <c r="AI40" t="s">
        <v>29</v>
      </c>
      <c r="AJ40" t="s">
        <v>35</v>
      </c>
      <c r="AK40" t="s">
        <v>36</v>
      </c>
    </row>
    <row r="41" spans="18:37" x14ac:dyDescent="0.2">
      <c r="R41" t="s">
        <v>30</v>
      </c>
      <c r="V41" t="s">
        <v>30</v>
      </c>
      <c r="AC41" t="s">
        <v>34</v>
      </c>
      <c r="AD41" t="s">
        <v>30</v>
      </c>
      <c r="AE41" t="s">
        <v>35</v>
      </c>
      <c r="AF41" t="s">
        <v>36</v>
      </c>
      <c r="AH41" t="s">
        <v>34</v>
      </c>
      <c r="AI41" t="s">
        <v>30</v>
      </c>
      <c r="AJ41" t="s">
        <v>35</v>
      </c>
      <c r="AK41" t="s">
        <v>36</v>
      </c>
    </row>
    <row r="42" spans="18:37" x14ac:dyDescent="0.2">
      <c r="R42" t="s">
        <v>31</v>
      </c>
      <c r="V42" t="s">
        <v>31</v>
      </c>
      <c r="AC42" t="s">
        <v>34</v>
      </c>
      <c r="AD42" t="s">
        <v>31</v>
      </c>
      <c r="AE42" t="s">
        <v>35</v>
      </c>
      <c r="AF42" t="s">
        <v>36</v>
      </c>
      <c r="AH42" t="s">
        <v>34</v>
      </c>
      <c r="AI42" t="s">
        <v>31</v>
      </c>
      <c r="AJ42" t="s">
        <v>35</v>
      </c>
      <c r="AK42" t="s">
        <v>36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R2:X41"/>
  <sheetViews>
    <sheetView topLeftCell="A12" zoomScaleNormal="100" workbookViewId="0">
      <selection activeCell="A4" sqref="A4"/>
    </sheetView>
  </sheetViews>
  <sheetFormatPr baseColWidth="10" defaultColWidth="8.83203125" defaultRowHeight="15" x14ac:dyDescent="0.2"/>
  <cols>
    <col min="18" max="18" width="26.1640625" bestFit="1" customWidth="1"/>
    <col min="19" max="19" width="5.1640625" bestFit="1" customWidth="1"/>
    <col min="22" max="22" width="26.1640625" bestFit="1" customWidth="1"/>
    <col min="23" max="23" width="7.6640625" bestFit="1" customWidth="1"/>
  </cols>
  <sheetData>
    <row r="2" spans="18:24" x14ac:dyDescent="0.2">
      <c r="R2" t="s">
        <v>0</v>
      </c>
      <c r="S2">
        <v>100</v>
      </c>
      <c r="T2">
        <v>50</v>
      </c>
      <c r="X2">
        <v>50</v>
      </c>
    </row>
    <row r="3" spans="18:24" x14ac:dyDescent="0.2">
      <c r="R3" t="s">
        <v>3</v>
      </c>
      <c r="S3">
        <v>110</v>
      </c>
      <c r="T3">
        <v>50</v>
      </c>
      <c r="X3">
        <v>50</v>
      </c>
    </row>
    <row r="4" spans="18:24" x14ac:dyDescent="0.2">
      <c r="R4" t="s">
        <v>4</v>
      </c>
      <c r="S4">
        <v>0.05</v>
      </c>
      <c r="T4">
        <v>0.1</v>
      </c>
      <c r="X4">
        <v>0.1</v>
      </c>
    </row>
    <row r="5" spans="18:24" x14ac:dyDescent="0.2">
      <c r="R5" t="s">
        <v>1</v>
      </c>
      <c r="S5">
        <v>0</v>
      </c>
      <c r="T5">
        <v>0</v>
      </c>
      <c r="X5">
        <v>0</v>
      </c>
    </row>
    <row r="6" spans="18:24" x14ac:dyDescent="0.2">
      <c r="R6" t="s">
        <v>5</v>
      </c>
      <c r="S6">
        <v>0.3</v>
      </c>
      <c r="T6">
        <v>0.4</v>
      </c>
      <c r="X6">
        <v>0.4</v>
      </c>
    </row>
    <row r="7" spans="18:24" x14ac:dyDescent="0.2">
      <c r="R7" t="s">
        <v>2</v>
      </c>
      <c r="S7">
        <v>1</v>
      </c>
      <c r="T7">
        <v>0.25</v>
      </c>
      <c r="X7">
        <v>0.25</v>
      </c>
    </row>
    <row r="9" spans="18:24" x14ac:dyDescent="0.2">
      <c r="R9" t="s">
        <v>13</v>
      </c>
      <c r="S9">
        <v>0</v>
      </c>
      <c r="T9">
        <v>0</v>
      </c>
      <c r="X9">
        <v>0</v>
      </c>
    </row>
    <row r="10" spans="18:24" x14ac:dyDescent="0.2">
      <c r="R10" t="s">
        <v>32</v>
      </c>
      <c r="S10">
        <v>90</v>
      </c>
      <c r="T10">
        <v>50</v>
      </c>
      <c r="X10">
        <v>50</v>
      </c>
    </row>
    <row r="11" spans="18:24" x14ac:dyDescent="0.2">
      <c r="X11">
        <f>lookbackOptionCon(X2,X3,X4,X5,X6,X7,X9,X10,"put")</f>
        <v>3.752132932984857</v>
      </c>
    </row>
    <row r="13" spans="18:24" x14ac:dyDescent="0.2">
      <c r="R13" t="s">
        <v>21</v>
      </c>
      <c r="S13">
        <f>S7-S9</f>
        <v>1</v>
      </c>
      <c r="V13" t="s">
        <v>21</v>
      </c>
    </row>
    <row r="14" spans="18:24" x14ac:dyDescent="0.2">
      <c r="V14" t="s">
        <v>23</v>
      </c>
    </row>
    <row r="15" spans="18:24" x14ac:dyDescent="0.2">
      <c r="R15" t="s">
        <v>7</v>
      </c>
      <c r="V15" t="s">
        <v>24</v>
      </c>
    </row>
    <row r="16" spans="18:24" x14ac:dyDescent="0.2">
      <c r="R16" t="s">
        <v>28</v>
      </c>
    </row>
    <row r="17" spans="18:22" x14ac:dyDescent="0.2">
      <c r="R17" t="s">
        <v>8</v>
      </c>
      <c r="V17" t="s">
        <v>7</v>
      </c>
    </row>
    <row r="18" spans="18:22" x14ac:dyDescent="0.2">
      <c r="R18" t="s">
        <v>9</v>
      </c>
      <c r="V18" t="s">
        <v>27</v>
      </c>
    </row>
    <row r="19" spans="18:22" x14ac:dyDescent="0.2">
      <c r="R19" t="s">
        <v>22</v>
      </c>
      <c r="V19" t="s">
        <v>8</v>
      </c>
    </row>
    <row r="20" spans="18:22" x14ac:dyDescent="0.2">
      <c r="R20" t="s">
        <v>10</v>
      </c>
    </row>
    <row r="21" spans="18:22" x14ac:dyDescent="0.2">
      <c r="R21" t="s">
        <v>11</v>
      </c>
      <c r="V21" t="s">
        <v>25</v>
      </c>
    </row>
    <row r="22" spans="18:22" x14ac:dyDescent="0.2">
      <c r="V22" t="s">
        <v>10</v>
      </c>
    </row>
    <row r="23" spans="18:22" x14ac:dyDescent="0.2">
      <c r="R23" t="s">
        <v>12</v>
      </c>
      <c r="V23" t="s">
        <v>11</v>
      </c>
    </row>
    <row r="24" spans="18:22" x14ac:dyDescent="0.2">
      <c r="R24" t="s">
        <v>14</v>
      </c>
    </row>
    <row r="25" spans="18:22" x14ac:dyDescent="0.2">
      <c r="V25" t="s">
        <v>12</v>
      </c>
    </row>
    <row r="26" spans="18:22" x14ac:dyDescent="0.2">
      <c r="V26" t="s">
        <v>14</v>
      </c>
    </row>
    <row r="27" spans="18:22" x14ac:dyDescent="0.2">
      <c r="R27" t="s">
        <v>15</v>
      </c>
    </row>
    <row r="28" spans="18:22" x14ac:dyDescent="0.2">
      <c r="R28" t="s">
        <v>16</v>
      </c>
    </row>
    <row r="29" spans="18:22" x14ac:dyDescent="0.2">
      <c r="R29" t="s">
        <v>28</v>
      </c>
      <c r="V29" t="s">
        <v>26</v>
      </c>
    </row>
    <row r="30" spans="18:22" x14ac:dyDescent="0.2">
      <c r="R30" t="s">
        <v>17</v>
      </c>
      <c r="V30" t="s">
        <v>16</v>
      </c>
    </row>
    <row r="31" spans="18:22" x14ac:dyDescent="0.2">
      <c r="R31" t="s">
        <v>19</v>
      </c>
      <c r="V31" t="s">
        <v>27</v>
      </c>
    </row>
    <row r="32" spans="18:22" x14ac:dyDescent="0.2">
      <c r="R32" t="s">
        <v>20</v>
      </c>
      <c r="V32" t="s">
        <v>17</v>
      </c>
    </row>
    <row r="33" spans="18:22" x14ac:dyDescent="0.2">
      <c r="R33" t="s">
        <v>18</v>
      </c>
      <c r="V33" t="s">
        <v>19</v>
      </c>
    </row>
    <row r="34" spans="18:22" x14ac:dyDescent="0.2">
      <c r="R34" t="s">
        <v>28</v>
      </c>
      <c r="V34" t="s">
        <v>20</v>
      </c>
    </row>
    <row r="35" spans="18:22" x14ac:dyDescent="0.2">
      <c r="R35" t="s">
        <v>8</v>
      </c>
      <c r="V35" t="s">
        <v>18</v>
      </c>
    </row>
    <row r="36" spans="18:22" x14ac:dyDescent="0.2">
      <c r="V36" t="s">
        <v>27</v>
      </c>
    </row>
    <row r="37" spans="18:22" x14ac:dyDescent="0.2">
      <c r="V37" t="s">
        <v>8</v>
      </c>
    </row>
    <row r="39" spans="18:22" x14ac:dyDescent="0.2">
      <c r="R39" t="s">
        <v>29</v>
      </c>
      <c r="V39" t="s">
        <v>29</v>
      </c>
    </row>
    <row r="40" spans="18:22" x14ac:dyDescent="0.2">
      <c r="R40" t="s">
        <v>30</v>
      </c>
      <c r="V40" t="s">
        <v>30</v>
      </c>
    </row>
    <row r="41" spans="18:22" x14ac:dyDescent="0.2">
      <c r="R41" t="s">
        <v>33</v>
      </c>
      <c r="V41" t="s">
        <v>33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6"/>
  <sheetViews>
    <sheetView workbookViewId="0">
      <selection activeCell="A5" sqref="A5"/>
    </sheetView>
  </sheetViews>
  <sheetFormatPr baseColWidth="10" defaultRowHeight="15" x14ac:dyDescent="0.2"/>
  <cols>
    <col min="1" max="1" width="3" style="10" customWidth="1"/>
  </cols>
  <sheetData>
    <row r="1" spans="2:7" x14ac:dyDescent="0.2">
      <c r="B1" t="s">
        <v>90</v>
      </c>
    </row>
    <row r="2" spans="2:7" x14ac:dyDescent="0.2">
      <c r="B2" s="12" t="s">
        <v>80</v>
      </c>
      <c r="C2" s="13" t="s">
        <v>80</v>
      </c>
      <c r="D2" s="13" t="s">
        <v>81</v>
      </c>
      <c r="E2" s="13" t="s">
        <v>81</v>
      </c>
      <c r="F2" s="13" t="s">
        <v>82</v>
      </c>
      <c r="G2" s="14" t="s">
        <v>82</v>
      </c>
    </row>
    <row r="3" spans="2:7" x14ac:dyDescent="0.2">
      <c r="B3" s="15" t="s">
        <v>81</v>
      </c>
      <c r="C3" s="16" t="s">
        <v>82</v>
      </c>
      <c r="D3" s="16" t="s">
        <v>80</v>
      </c>
      <c r="E3" s="16" t="s">
        <v>82</v>
      </c>
      <c r="F3" s="16" t="s">
        <v>80</v>
      </c>
      <c r="G3" s="17" t="s">
        <v>81</v>
      </c>
    </row>
    <row r="4" spans="2:7" x14ac:dyDescent="0.2">
      <c r="B4" s="18" t="s">
        <v>82</v>
      </c>
      <c r="C4" s="19" t="s">
        <v>81</v>
      </c>
      <c r="D4" s="19" t="s">
        <v>82</v>
      </c>
      <c r="E4" s="19" t="s">
        <v>80</v>
      </c>
      <c r="F4" s="19" t="s">
        <v>81</v>
      </c>
      <c r="G4" s="20" t="s">
        <v>80</v>
      </c>
    </row>
    <row r="5" spans="2:7" x14ac:dyDescent="0.2">
      <c r="B5" s="11">
        <v>1</v>
      </c>
      <c r="C5" s="11">
        <v>2</v>
      </c>
      <c r="D5" s="11">
        <v>3</v>
      </c>
      <c r="E5" s="11">
        <v>4</v>
      </c>
      <c r="F5" s="11">
        <v>5</v>
      </c>
      <c r="G5" s="11">
        <v>6</v>
      </c>
    </row>
    <row r="6" spans="2:7" x14ac:dyDescent="0.2">
      <c r="B6" s="11"/>
      <c r="C6" s="11"/>
      <c r="D6" s="11"/>
      <c r="E6" s="11"/>
      <c r="F6" s="11"/>
      <c r="G6" s="11"/>
    </row>
    <row r="7" spans="2:7" x14ac:dyDescent="0.2">
      <c r="B7" s="12" t="s">
        <v>83</v>
      </c>
      <c r="C7" s="14" t="s">
        <v>82</v>
      </c>
      <c r="D7" s="11"/>
      <c r="E7" s="11"/>
      <c r="F7" s="11"/>
      <c r="G7" s="11"/>
    </row>
    <row r="8" spans="2:7" x14ac:dyDescent="0.2">
      <c r="B8" s="18" t="s">
        <v>82</v>
      </c>
      <c r="C8" s="20" t="s">
        <v>83</v>
      </c>
      <c r="D8" s="11"/>
      <c r="E8" s="11"/>
      <c r="F8" s="11"/>
      <c r="G8" s="11"/>
    </row>
    <row r="9" spans="2:7" x14ac:dyDescent="0.2">
      <c r="B9" s="11">
        <v>7</v>
      </c>
      <c r="C9" s="11">
        <v>8</v>
      </c>
      <c r="D9" s="11"/>
      <c r="E9" s="11"/>
      <c r="F9" s="11"/>
      <c r="G9" s="11"/>
    </row>
    <row r="10" spans="2:7" x14ac:dyDescent="0.2">
      <c r="B10" s="11"/>
      <c r="C10" s="11"/>
      <c r="D10" s="11"/>
      <c r="E10" s="11"/>
      <c r="F10" s="11"/>
      <c r="G10" s="11"/>
    </row>
    <row r="11" spans="2:7" x14ac:dyDescent="0.2">
      <c r="B11" s="12" t="s">
        <v>84</v>
      </c>
      <c r="C11" s="14" t="s">
        <v>81</v>
      </c>
      <c r="D11" s="11"/>
      <c r="E11" s="11"/>
      <c r="F11" s="11"/>
      <c r="G11" s="11"/>
    </row>
    <row r="12" spans="2:7" x14ac:dyDescent="0.2">
      <c r="B12" s="18" t="s">
        <v>81</v>
      </c>
      <c r="C12" s="20" t="s">
        <v>84</v>
      </c>
      <c r="D12" s="11"/>
      <c r="E12" s="11"/>
      <c r="F12" s="11"/>
      <c r="G12" s="11"/>
    </row>
    <row r="13" spans="2:7" x14ac:dyDescent="0.2">
      <c r="B13" s="11">
        <v>9</v>
      </c>
      <c r="C13" s="11">
        <v>10</v>
      </c>
      <c r="D13" s="11"/>
      <c r="E13" s="11"/>
      <c r="F13" s="11"/>
      <c r="G13" s="11"/>
    </row>
    <row r="14" spans="2:7" x14ac:dyDescent="0.2">
      <c r="B14" s="11"/>
      <c r="C14" s="11"/>
      <c r="D14" s="11"/>
      <c r="E14" s="11"/>
      <c r="F14" s="11"/>
      <c r="G14" s="11"/>
    </row>
    <row r="15" spans="2:7" x14ac:dyDescent="0.2">
      <c r="B15" s="11" t="s">
        <v>85</v>
      </c>
      <c r="C15" s="11" t="s">
        <v>86</v>
      </c>
      <c r="D15" s="11"/>
      <c r="E15" s="11"/>
      <c r="F15" s="11"/>
      <c r="G15" s="11"/>
    </row>
    <row r="16" spans="2:7" x14ac:dyDescent="0.2">
      <c r="B16" s="11" t="s">
        <v>82</v>
      </c>
      <c r="C16" s="11" t="s">
        <v>86</v>
      </c>
      <c r="D16" s="11"/>
      <c r="E16" s="11"/>
      <c r="F16" s="11"/>
      <c r="G16" s="11"/>
    </row>
    <row r="17" spans="2:7" x14ac:dyDescent="0.2">
      <c r="B17" s="11"/>
      <c r="C17" s="11"/>
      <c r="D17" s="11"/>
      <c r="E17" s="11"/>
      <c r="F17" s="11"/>
      <c r="G17" s="11"/>
    </row>
    <row r="18" spans="2:7" x14ac:dyDescent="0.2">
      <c r="B18" s="12" t="s">
        <v>87</v>
      </c>
      <c r="C18" s="14" t="s">
        <v>80</v>
      </c>
      <c r="D18" s="11"/>
      <c r="E18" s="11"/>
      <c r="F18" s="11"/>
      <c r="G18" s="11"/>
    </row>
    <row r="19" spans="2:7" x14ac:dyDescent="0.2">
      <c r="B19" s="18" t="s">
        <v>80</v>
      </c>
      <c r="C19" s="20" t="s">
        <v>87</v>
      </c>
      <c r="D19" s="11"/>
      <c r="E19" s="11"/>
      <c r="F19" s="11"/>
      <c r="G19" s="11"/>
    </row>
    <row r="20" spans="2:7" x14ac:dyDescent="0.2">
      <c r="B20" s="11">
        <v>11</v>
      </c>
      <c r="C20" s="11">
        <v>12</v>
      </c>
      <c r="D20" s="11"/>
      <c r="E20" s="11"/>
      <c r="F20" s="11"/>
      <c r="G20" s="11"/>
    </row>
    <row r="21" spans="2:7" x14ac:dyDescent="0.2">
      <c r="B21" s="11"/>
      <c r="C21" s="11"/>
      <c r="D21" s="11"/>
      <c r="E21" s="11"/>
      <c r="F21" s="11"/>
      <c r="G21" s="11"/>
    </row>
    <row r="22" spans="2:7" x14ac:dyDescent="0.2">
      <c r="B22" s="11" t="s">
        <v>88</v>
      </c>
      <c r="C22" s="11" t="s">
        <v>86</v>
      </c>
      <c r="D22" s="11"/>
      <c r="E22" s="11"/>
      <c r="F22" s="11"/>
      <c r="G22" s="11"/>
    </row>
    <row r="23" spans="2:7" x14ac:dyDescent="0.2">
      <c r="B23" s="11" t="s">
        <v>81</v>
      </c>
      <c r="C23" s="11" t="s">
        <v>86</v>
      </c>
      <c r="D23" s="11"/>
      <c r="E23" s="11"/>
      <c r="F23" s="11"/>
      <c r="G23" s="11"/>
    </row>
    <row r="24" spans="2:7" x14ac:dyDescent="0.2">
      <c r="B24" s="11"/>
      <c r="C24" s="11"/>
      <c r="D24" s="11"/>
      <c r="E24" s="11"/>
      <c r="F24" s="11"/>
      <c r="G24" s="11"/>
    </row>
    <row r="25" spans="2:7" x14ac:dyDescent="0.2">
      <c r="B25" s="21" t="s">
        <v>89</v>
      </c>
      <c r="C25" s="11"/>
      <c r="D25" s="11"/>
      <c r="E25" s="11"/>
      <c r="F25" s="11"/>
      <c r="G25" s="11"/>
    </row>
    <row r="26" spans="2:7" x14ac:dyDescent="0.2">
      <c r="B26" s="11">
        <v>13</v>
      </c>
      <c r="C26" s="11"/>
      <c r="D26" s="11"/>
      <c r="E26" s="11"/>
      <c r="F26" s="11"/>
      <c r="G26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9</vt:i4>
      </vt:variant>
    </vt:vector>
  </HeadingPairs>
  <TitlesOfParts>
    <vt:vector size="16" baseType="lpstr">
      <vt:lpstr>Usage</vt:lpstr>
      <vt:lpstr>Call Sensitivity</vt:lpstr>
      <vt:lpstr>Put Sensitivity(consider Rfr)</vt:lpstr>
      <vt:lpstr>Put Sensitivity (consider div)</vt:lpstr>
      <vt:lpstr>Call Formula</vt:lpstr>
      <vt:lpstr>Put Formula</vt:lpstr>
      <vt:lpstr>variable combinations</vt:lpstr>
      <vt:lpstr>C. S to RF</vt:lpstr>
      <vt:lpstr>C. S to Div</vt:lpstr>
      <vt:lpstr>C. S to Vol</vt:lpstr>
      <vt:lpstr>C. S to TTM</vt:lpstr>
      <vt:lpstr>C. S to S0</vt:lpstr>
      <vt:lpstr>C. S to X</vt:lpstr>
      <vt:lpstr>C. S to M</vt:lpstr>
      <vt:lpstr>P. S to Rf</vt:lpstr>
      <vt:lpstr>P. S to Div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Ibia</dc:creator>
  <cp:lastModifiedBy>RevIT</cp:lastModifiedBy>
  <dcterms:created xsi:type="dcterms:W3CDTF">2018-06-08T14:27:46Z</dcterms:created>
  <dcterms:modified xsi:type="dcterms:W3CDTF">2018-06-17T21:11:37Z</dcterms:modified>
</cp:coreProperties>
</file>