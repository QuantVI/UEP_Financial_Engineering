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codeName="ThisWorkbook"/>
  <bookViews>
    <workbookView xWindow="15" yWindow="465" windowWidth="15315" windowHeight="11700" tabRatio="648" firstSheet="1" activeTab="8"/>
  </bookViews>
  <sheets>
    <sheet name="Start Here" sheetId="7" state="hidden" r:id="rId1"/>
    <sheet name="Control-Input" sheetId="1" r:id="rId2"/>
    <sheet name="notes" sheetId="3" state="hidden" r:id="rId3"/>
    <sheet name="Test" sheetId="12" r:id="rId4"/>
    <sheet name="Binomial Reference" sheetId="6" state="hidden" r:id="rId5"/>
    <sheet name="Binomial_model manual" sheetId="14" state="hidden" r:id="rId6"/>
    <sheet name="BlackScholes Reference" sheetId="15" state="hidden" r:id="rId7"/>
    <sheet name="MonteCarlo" sheetId="16" state="hidden" r:id="rId8"/>
    <sheet name="Cholesky" sheetId="17" r:id="rId9"/>
    <sheet name="TSLA_52wk" sheetId="4" state="hidden" r:id="rId10"/>
    <sheet name="amercall sstar" sheetId="19" state="hidden" r:id="rId11"/>
    <sheet name="incl monte4" sheetId="20" state="hidden" r:id="rId12"/>
    <sheet name="incl monte5" sheetId="21" state="hidden" r:id="rId13"/>
    <sheet name="incl star2" sheetId="22" state="hidden" r:id="rId14"/>
    <sheet name="Price Trajectory" sheetId="23" r:id="rId15"/>
    <sheet name="Chart - Trajectory" sheetId="24" r:id="rId16"/>
  </sheets>
  <functionGroups builtInGroupCount="17"/>
  <definedNames>
    <definedName name="ch_d_m_start">'Price Trajectory'!$V$2</definedName>
    <definedName name="op_valu_info" localSheetId="3">Test!$B$2:$C$9</definedName>
    <definedName name="op_valu_info">'Control-Input'!$A$12:$D$23</definedName>
    <definedName name="pr_traj_info" localSheetId="3">Test!#REF!</definedName>
    <definedName name="pr_traj_info">'Control-Input'!$A$1:$D$9</definedName>
    <definedName name="solver_adj" localSheetId="10" hidden="1">'amercall sstar'!$B$8</definedName>
    <definedName name="solver_adj" localSheetId="13" hidden="1">'incl star2'!$B$15</definedName>
    <definedName name="solver_cvg" localSheetId="10" hidden="1">0.0001</definedName>
    <definedName name="solver_cvg" localSheetId="13" hidden="1">0.0001</definedName>
    <definedName name="solver_drv" localSheetId="10" hidden="1">1</definedName>
    <definedName name="solver_drv" localSheetId="13" hidden="1">1</definedName>
    <definedName name="solver_eng" localSheetId="10" hidden="1">1</definedName>
    <definedName name="solver_eng" localSheetId="13" hidden="1">1</definedName>
    <definedName name="solver_est" localSheetId="10" hidden="1">1</definedName>
    <definedName name="solver_est" localSheetId="13" hidden="1">1</definedName>
    <definedName name="solver_itr" localSheetId="10" hidden="1">2147483647</definedName>
    <definedName name="solver_itr" localSheetId="13" hidden="1">2147483647</definedName>
    <definedName name="solver_lhs1" localSheetId="13" hidden="1">'incl star2'!$B$23</definedName>
    <definedName name="solver_mip" localSheetId="10" hidden="1">2147483647</definedName>
    <definedName name="solver_mip" localSheetId="13" hidden="1">2147483647</definedName>
    <definedName name="solver_mni" localSheetId="10" hidden="1">30</definedName>
    <definedName name="solver_mni" localSheetId="13" hidden="1">30</definedName>
    <definedName name="solver_mrt" localSheetId="10" hidden="1">0.075</definedName>
    <definedName name="solver_mrt" localSheetId="13" hidden="1">0.075</definedName>
    <definedName name="solver_msl" localSheetId="10" hidden="1">2</definedName>
    <definedName name="solver_msl" localSheetId="13" hidden="1">2</definedName>
    <definedName name="solver_neg" localSheetId="10" hidden="1">1</definedName>
    <definedName name="solver_neg" localSheetId="13" hidden="1">1</definedName>
    <definedName name="solver_nod" localSheetId="10" hidden="1">2147483647</definedName>
    <definedName name="solver_nod" localSheetId="13" hidden="1">2147483647</definedName>
    <definedName name="solver_num" localSheetId="10" hidden="1">0</definedName>
    <definedName name="solver_num" localSheetId="13" hidden="1">1</definedName>
    <definedName name="solver_nwt" localSheetId="10" hidden="1">1</definedName>
    <definedName name="solver_nwt" localSheetId="13" hidden="1">1</definedName>
    <definedName name="solver_opt" localSheetId="10" hidden="1">'amercall sstar'!$B$21</definedName>
    <definedName name="solver_opt" localSheetId="13" hidden="1">'incl star2'!$B$28</definedName>
    <definedName name="solver_pre" localSheetId="10" hidden="1">0.000001</definedName>
    <definedName name="solver_pre" localSheetId="13" hidden="1">0.000001</definedName>
    <definedName name="solver_rbv" localSheetId="10" hidden="1">1</definedName>
    <definedName name="solver_rbv" localSheetId="13" hidden="1">1</definedName>
    <definedName name="solver_rel1" localSheetId="13" hidden="1">2</definedName>
    <definedName name="solver_rhs1" localSheetId="13" hidden="1">'incl star2'!$B$26</definedName>
    <definedName name="solver_rlx" localSheetId="10" hidden="1">2</definedName>
    <definedName name="solver_rlx" localSheetId="13" hidden="1">2</definedName>
    <definedName name="solver_rsd" localSheetId="10" hidden="1">0</definedName>
    <definedName name="solver_rsd" localSheetId="13" hidden="1">0</definedName>
    <definedName name="solver_scl" localSheetId="10" hidden="1">1</definedName>
    <definedName name="solver_scl" localSheetId="13" hidden="1">1</definedName>
    <definedName name="solver_sho" localSheetId="10" hidden="1">2</definedName>
    <definedName name="solver_sho" localSheetId="13" hidden="1">2</definedName>
    <definedName name="solver_ssz" localSheetId="10" hidden="1">100</definedName>
    <definedName name="solver_ssz" localSheetId="13" hidden="1">100</definedName>
    <definedName name="solver_tim" localSheetId="10" hidden="1">2147483647</definedName>
    <definedName name="solver_tim" localSheetId="13" hidden="1">2147483647</definedName>
    <definedName name="solver_tol" localSheetId="10" hidden="1">0.01</definedName>
    <definedName name="solver_tol" localSheetId="13" hidden="1">0.01</definedName>
    <definedName name="solver_typ" localSheetId="10" hidden="1">3</definedName>
    <definedName name="solver_typ" localSheetId="13" hidden="1">2</definedName>
    <definedName name="solver_val" localSheetId="10" hidden="1">0</definedName>
    <definedName name="solver_val" localSheetId="13" hidden="1">0</definedName>
    <definedName name="solver_ver" localSheetId="10" hidden="1">3</definedName>
    <definedName name="solver_ver" localSheetId="13" hidden="1">3</definedName>
  </definedNames>
  <calcPr calcId="1445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8" i="17" l="1" a="1"/>
  <c r="Q18" i="17"/>
  <c r="R18" i="17"/>
  <c r="S18" i="17"/>
  <c r="Q19" i="17"/>
  <c r="R19" i="17"/>
  <c r="S19" i="17"/>
  <c r="Q20" i="17"/>
  <c r="R20" i="17"/>
  <c r="S20" i="17"/>
  <c r="Q21" i="17"/>
  <c r="R21" i="17"/>
  <c r="S21" i="17"/>
  <c r="Q22" i="17"/>
  <c r="R22" i="17"/>
  <c r="S22" i="17"/>
  <c r="Q23" i="17"/>
  <c r="R23" i="17"/>
  <c r="S23" i="17"/>
  <c r="Q24" i="17"/>
  <c r="R24" i="17"/>
  <c r="S24" i="17"/>
  <c r="Q25" i="17"/>
  <c r="R25" i="17"/>
  <c r="S25" i="17"/>
  <c r="Q26" i="17"/>
  <c r="R26" i="17"/>
  <c r="S26" i="17"/>
  <c r="Q27" i="17"/>
  <c r="R27" i="17"/>
  <c r="S27" i="17"/>
  <c r="Q28" i="17"/>
  <c r="R28" i="17"/>
  <c r="S28" i="17"/>
  <c r="P4" i="23" l="1"/>
  <c r="P3" i="23"/>
  <c r="P2" i="23"/>
  <c r="G4" i="23"/>
  <c r="G3" i="23"/>
  <c r="G2" i="23"/>
  <c r="AC3" i="17"/>
  <c r="AC2" i="17"/>
  <c r="C15" i="17" a="1"/>
  <c r="C15" i="17" l="1"/>
  <c r="D15" i="17"/>
  <c r="E15" i="17"/>
  <c r="C16" i="17"/>
  <c r="D16" i="17"/>
  <c r="E16" i="17"/>
  <c r="C17" i="17"/>
  <c r="D17" i="17"/>
  <c r="E17" i="17"/>
  <c r="W15" i="17"/>
  <c r="V15" i="17"/>
  <c r="U15" i="17"/>
  <c r="T15" i="17"/>
  <c r="S15" i="17"/>
  <c r="R15" i="17"/>
  <c r="Q15" i="17"/>
  <c r="P15" i="17"/>
  <c r="L15" i="17"/>
  <c r="O15" i="17"/>
  <c r="N15" i="17"/>
  <c r="M15" i="17"/>
  <c r="U2" i="17" a="1"/>
  <c r="U2" i="17"/>
  <c r="V2" i="17"/>
  <c r="W2" i="17"/>
  <c r="U3" i="17"/>
  <c r="V3" i="17"/>
  <c r="W3" i="17"/>
  <c r="U4" i="17"/>
  <c r="V4" i="17"/>
  <c r="W4" i="17"/>
  <c r="U5" i="17"/>
  <c r="V5" i="17"/>
  <c r="W5" i="17"/>
  <c r="U6" i="17"/>
  <c r="V6" i="17"/>
  <c r="W6" i="17"/>
  <c r="U7" i="17"/>
  <c r="V7" i="17"/>
  <c r="W7" i="17"/>
  <c r="U8" i="17"/>
  <c r="V8" i="17"/>
  <c r="W8" i="17"/>
  <c r="U9" i="17"/>
  <c r="V9" i="17"/>
  <c r="W9" i="17"/>
  <c r="U10" i="17"/>
  <c r="V10" i="17"/>
  <c r="W10" i="17"/>
  <c r="U11" i="17"/>
  <c r="V11" i="17"/>
  <c r="W11" i="17"/>
  <c r="U12" i="17"/>
  <c r="V12" i="17"/>
  <c r="W12" i="17"/>
  <c r="U13" i="17"/>
  <c r="V13" i="17"/>
  <c r="W13" i="17"/>
  <c r="Q3" i="17" a="1"/>
  <c r="Q3" i="17"/>
  <c r="R3" i="17"/>
  <c r="S3" i="17"/>
  <c r="Q4" i="17"/>
  <c r="R4" i="17"/>
  <c r="S4" i="17"/>
  <c r="Q5" i="17"/>
  <c r="R5" i="17"/>
  <c r="S5" i="17"/>
  <c r="Q6" i="17"/>
  <c r="R6" i="17"/>
  <c r="S6" i="17"/>
  <c r="Q7" i="17"/>
  <c r="R7" i="17"/>
  <c r="S7" i="17"/>
  <c r="Q8" i="17"/>
  <c r="R8" i="17"/>
  <c r="S8" i="17"/>
  <c r="Q9" i="17"/>
  <c r="R9" i="17"/>
  <c r="S9" i="17"/>
  <c r="Q10" i="17"/>
  <c r="R10" i="17"/>
  <c r="S10" i="17"/>
  <c r="Q11" i="17"/>
  <c r="R11" i="17"/>
  <c r="S11" i="17"/>
  <c r="Q12" i="17"/>
  <c r="R12" i="17"/>
  <c r="S12" i="17"/>
  <c r="Q13" i="17"/>
  <c r="R13" i="17"/>
  <c r="S13" i="17"/>
  <c r="F12" i="22" l="1"/>
  <c r="B17" i="22"/>
  <c r="B13" i="22"/>
  <c r="B11" i="22"/>
  <c r="B10" i="22"/>
  <c r="B9" i="22"/>
  <c r="B19" i="22"/>
  <c r="F18" i="22"/>
  <c r="E25" i="22"/>
  <c r="B25" i="22"/>
  <c r="F3" i="22"/>
  <c r="F6" i="22"/>
  <c r="F10" i="22" l="1"/>
  <c r="F11" i="22" s="1"/>
  <c r="F8" i="22"/>
  <c r="F4" i="22"/>
  <c r="B23" i="22"/>
  <c r="B7" i="22"/>
  <c r="B300" i="21"/>
  <c r="A300" i="21"/>
  <c r="G300" i="21" s="1"/>
  <c r="H300" i="21" s="1"/>
  <c r="B299" i="21"/>
  <c r="A299" i="21"/>
  <c r="G299" i="21" s="1"/>
  <c r="H299" i="21" s="1"/>
  <c r="B298" i="21"/>
  <c r="A298" i="21"/>
  <c r="G298" i="21" s="1"/>
  <c r="H298" i="21" s="1"/>
  <c r="B297" i="21"/>
  <c r="A297" i="21"/>
  <c r="G297" i="21" s="1"/>
  <c r="H297" i="21" s="1"/>
  <c r="B296" i="21"/>
  <c r="A296" i="21"/>
  <c r="G296" i="21" s="1"/>
  <c r="H296" i="21" s="1"/>
  <c r="B295" i="21"/>
  <c r="A295" i="21"/>
  <c r="G295" i="21" s="1"/>
  <c r="H295" i="21" s="1"/>
  <c r="B294" i="21"/>
  <c r="A294" i="21"/>
  <c r="G294" i="21" s="1"/>
  <c r="H294" i="21" s="1"/>
  <c r="B293" i="21"/>
  <c r="A293" i="21"/>
  <c r="G293" i="21" s="1"/>
  <c r="H293" i="21" s="1"/>
  <c r="B292" i="21"/>
  <c r="A292" i="21"/>
  <c r="G292" i="21" s="1"/>
  <c r="H292" i="21" s="1"/>
  <c r="B291" i="21"/>
  <c r="A291" i="21"/>
  <c r="G291" i="21" s="1"/>
  <c r="H291" i="21" s="1"/>
  <c r="B290" i="21"/>
  <c r="A290" i="21"/>
  <c r="G290" i="21" s="1"/>
  <c r="H290" i="21" s="1"/>
  <c r="B289" i="21"/>
  <c r="A289" i="21"/>
  <c r="G289" i="21" s="1"/>
  <c r="H289" i="21" s="1"/>
  <c r="B288" i="21"/>
  <c r="A288" i="21"/>
  <c r="G288" i="21" s="1"/>
  <c r="H288" i="21" s="1"/>
  <c r="B287" i="21"/>
  <c r="A287" i="21"/>
  <c r="G287" i="21" s="1"/>
  <c r="H287" i="21" s="1"/>
  <c r="B286" i="21"/>
  <c r="A286" i="21"/>
  <c r="G286" i="21" s="1"/>
  <c r="H286" i="21" s="1"/>
  <c r="B285" i="21"/>
  <c r="A285" i="21"/>
  <c r="G285" i="21" s="1"/>
  <c r="H285" i="21" s="1"/>
  <c r="B284" i="21"/>
  <c r="A284" i="21"/>
  <c r="G284" i="21" s="1"/>
  <c r="H284" i="21" s="1"/>
  <c r="B283" i="21"/>
  <c r="A283" i="21"/>
  <c r="G283" i="21" s="1"/>
  <c r="H283" i="21" s="1"/>
  <c r="B282" i="21"/>
  <c r="A282" i="21"/>
  <c r="G282" i="21" s="1"/>
  <c r="H282" i="21" s="1"/>
  <c r="B281" i="21"/>
  <c r="A281" i="21"/>
  <c r="G281" i="21" s="1"/>
  <c r="H281" i="21" s="1"/>
  <c r="B280" i="21"/>
  <c r="A280" i="21"/>
  <c r="G280" i="21" s="1"/>
  <c r="H280" i="21" s="1"/>
  <c r="B279" i="21"/>
  <c r="A279" i="21"/>
  <c r="G279" i="21" s="1"/>
  <c r="H279" i="21" s="1"/>
  <c r="B278" i="21"/>
  <c r="A278" i="21"/>
  <c r="G278" i="21" s="1"/>
  <c r="H278" i="21" s="1"/>
  <c r="B277" i="21"/>
  <c r="A277" i="21"/>
  <c r="G277" i="21" s="1"/>
  <c r="H277" i="21" s="1"/>
  <c r="B276" i="21"/>
  <c r="A276" i="21"/>
  <c r="G276" i="21" s="1"/>
  <c r="H276" i="21" s="1"/>
  <c r="B275" i="21"/>
  <c r="A275" i="21"/>
  <c r="G275" i="21" s="1"/>
  <c r="H275" i="21" s="1"/>
  <c r="B274" i="21"/>
  <c r="A274" i="21"/>
  <c r="G274" i="21" s="1"/>
  <c r="H274" i="21" s="1"/>
  <c r="B273" i="21"/>
  <c r="A273" i="21"/>
  <c r="G273" i="21" s="1"/>
  <c r="H273" i="21" s="1"/>
  <c r="B272" i="21"/>
  <c r="A272" i="21"/>
  <c r="G272" i="21" s="1"/>
  <c r="H272" i="21" s="1"/>
  <c r="B271" i="21"/>
  <c r="A271" i="21"/>
  <c r="G271" i="21" s="1"/>
  <c r="H271" i="21" s="1"/>
  <c r="B270" i="21"/>
  <c r="A270" i="21"/>
  <c r="G270" i="21" s="1"/>
  <c r="H270" i="21" s="1"/>
  <c r="B269" i="21"/>
  <c r="A269" i="21"/>
  <c r="G269" i="21" s="1"/>
  <c r="H269" i="21" s="1"/>
  <c r="B268" i="21"/>
  <c r="A268" i="21"/>
  <c r="G268" i="21" s="1"/>
  <c r="H268" i="21" s="1"/>
  <c r="B267" i="21"/>
  <c r="A267" i="21"/>
  <c r="G267" i="21" s="1"/>
  <c r="H267" i="21" s="1"/>
  <c r="B266" i="21"/>
  <c r="A266" i="21"/>
  <c r="G266" i="21" s="1"/>
  <c r="H266" i="21" s="1"/>
  <c r="B265" i="21"/>
  <c r="A265" i="21"/>
  <c r="G265" i="21" s="1"/>
  <c r="H265" i="21" s="1"/>
  <c r="B264" i="21"/>
  <c r="A264" i="21"/>
  <c r="G264" i="21" s="1"/>
  <c r="H264" i="21" s="1"/>
  <c r="B263" i="21"/>
  <c r="A263" i="21"/>
  <c r="G263" i="21" s="1"/>
  <c r="H263" i="21" s="1"/>
  <c r="B262" i="21"/>
  <c r="A262" i="21"/>
  <c r="G262" i="21" s="1"/>
  <c r="H262" i="21" s="1"/>
  <c r="B261" i="21"/>
  <c r="A261" i="21"/>
  <c r="G261" i="21" s="1"/>
  <c r="H261" i="21" s="1"/>
  <c r="B260" i="21"/>
  <c r="A260" i="21"/>
  <c r="G260" i="21" s="1"/>
  <c r="H260" i="21" s="1"/>
  <c r="B259" i="21"/>
  <c r="A259" i="21"/>
  <c r="G259" i="21" s="1"/>
  <c r="H259" i="21" s="1"/>
  <c r="B258" i="21"/>
  <c r="A258" i="21"/>
  <c r="G258" i="21" s="1"/>
  <c r="H258" i="21" s="1"/>
  <c r="B257" i="21"/>
  <c r="A257" i="21"/>
  <c r="G257" i="21" s="1"/>
  <c r="H257" i="21" s="1"/>
  <c r="B256" i="21"/>
  <c r="A256" i="21"/>
  <c r="G256" i="21" s="1"/>
  <c r="H256" i="21" s="1"/>
  <c r="B255" i="21"/>
  <c r="A255" i="21"/>
  <c r="G255" i="21" s="1"/>
  <c r="H255" i="21" s="1"/>
  <c r="B254" i="21"/>
  <c r="A254" i="21"/>
  <c r="G254" i="21" s="1"/>
  <c r="H254" i="21" s="1"/>
  <c r="B253" i="21"/>
  <c r="A253" i="21"/>
  <c r="G253" i="21" s="1"/>
  <c r="H253" i="21" s="1"/>
  <c r="B252" i="21"/>
  <c r="A252" i="21"/>
  <c r="G252" i="21" s="1"/>
  <c r="H252" i="21" s="1"/>
  <c r="B251" i="21"/>
  <c r="A251" i="21"/>
  <c r="G251" i="21" s="1"/>
  <c r="H251" i="21" s="1"/>
  <c r="B250" i="21"/>
  <c r="A250" i="21"/>
  <c r="G250" i="21" s="1"/>
  <c r="H250" i="21" s="1"/>
  <c r="B249" i="21"/>
  <c r="A249" i="21"/>
  <c r="G249" i="21" s="1"/>
  <c r="H249" i="21" s="1"/>
  <c r="B248" i="21"/>
  <c r="A248" i="21"/>
  <c r="G248" i="21" s="1"/>
  <c r="H248" i="21" s="1"/>
  <c r="B247" i="21"/>
  <c r="A247" i="21"/>
  <c r="G247" i="21" s="1"/>
  <c r="H247" i="21" s="1"/>
  <c r="B246" i="21"/>
  <c r="A246" i="21"/>
  <c r="G246" i="21" s="1"/>
  <c r="H246" i="21" s="1"/>
  <c r="B245" i="21"/>
  <c r="A245" i="21"/>
  <c r="G245" i="21" s="1"/>
  <c r="H245" i="21" s="1"/>
  <c r="B244" i="21"/>
  <c r="A244" i="21"/>
  <c r="G244" i="21" s="1"/>
  <c r="H244" i="21" s="1"/>
  <c r="B243" i="21"/>
  <c r="A243" i="21"/>
  <c r="G243" i="21" s="1"/>
  <c r="H243" i="21" s="1"/>
  <c r="B242" i="21"/>
  <c r="A242" i="21"/>
  <c r="G242" i="21" s="1"/>
  <c r="H242" i="21" s="1"/>
  <c r="B241" i="21"/>
  <c r="A241" i="21"/>
  <c r="G241" i="21" s="1"/>
  <c r="H241" i="21" s="1"/>
  <c r="B240" i="21"/>
  <c r="A240" i="21"/>
  <c r="G240" i="21" s="1"/>
  <c r="H240" i="21" s="1"/>
  <c r="B239" i="21"/>
  <c r="A239" i="21"/>
  <c r="G239" i="21" s="1"/>
  <c r="H239" i="21" s="1"/>
  <c r="B238" i="21"/>
  <c r="A238" i="21"/>
  <c r="G238" i="21" s="1"/>
  <c r="H238" i="21" s="1"/>
  <c r="B237" i="21"/>
  <c r="A237" i="21"/>
  <c r="G237" i="21" s="1"/>
  <c r="H237" i="21" s="1"/>
  <c r="B236" i="21"/>
  <c r="A236" i="21"/>
  <c r="G236" i="21" s="1"/>
  <c r="H236" i="21" s="1"/>
  <c r="B235" i="21"/>
  <c r="A235" i="21"/>
  <c r="G235" i="21" s="1"/>
  <c r="H235" i="21" s="1"/>
  <c r="B234" i="21"/>
  <c r="A234" i="21"/>
  <c r="G234" i="21" s="1"/>
  <c r="H234" i="21" s="1"/>
  <c r="B233" i="21"/>
  <c r="A233" i="21"/>
  <c r="G233" i="21" s="1"/>
  <c r="H233" i="21" s="1"/>
  <c r="B232" i="21"/>
  <c r="A232" i="21"/>
  <c r="G232" i="21" s="1"/>
  <c r="H232" i="21" s="1"/>
  <c r="B231" i="21"/>
  <c r="A231" i="21"/>
  <c r="G231" i="21" s="1"/>
  <c r="H231" i="21" s="1"/>
  <c r="B230" i="21"/>
  <c r="A230" i="21"/>
  <c r="G230" i="21" s="1"/>
  <c r="H230" i="21" s="1"/>
  <c r="B229" i="21"/>
  <c r="A229" i="21"/>
  <c r="G229" i="21" s="1"/>
  <c r="H229" i="21" s="1"/>
  <c r="B228" i="21"/>
  <c r="A228" i="21"/>
  <c r="G228" i="21" s="1"/>
  <c r="H228" i="21" s="1"/>
  <c r="B227" i="21"/>
  <c r="A227" i="21"/>
  <c r="G227" i="21" s="1"/>
  <c r="H227" i="21" s="1"/>
  <c r="B226" i="21"/>
  <c r="A226" i="21"/>
  <c r="G226" i="21" s="1"/>
  <c r="H226" i="21" s="1"/>
  <c r="B225" i="21"/>
  <c r="A225" i="21"/>
  <c r="G225" i="21" s="1"/>
  <c r="H225" i="21" s="1"/>
  <c r="B224" i="21"/>
  <c r="A224" i="21"/>
  <c r="G224" i="21" s="1"/>
  <c r="H224" i="21" s="1"/>
  <c r="B223" i="21"/>
  <c r="A223" i="21"/>
  <c r="G223" i="21" s="1"/>
  <c r="H223" i="21" s="1"/>
  <c r="B222" i="21"/>
  <c r="A222" i="21"/>
  <c r="G222" i="21" s="1"/>
  <c r="H222" i="21" s="1"/>
  <c r="B221" i="21"/>
  <c r="A221" i="21"/>
  <c r="G221" i="21" s="1"/>
  <c r="H221" i="21" s="1"/>
  <c r="B220" i="21"/>
  <c r="A220" i="21"/>
  <c r="G220" i="21" s="1"/>
  <c r="H220" i="21" s="1"/>
  <c r="B219" i="21"/>
  <c r="A219" i="21"/>
  <c r="G219" i="21" s="1"/>
  <c r="H219" i="21" s="1"/>
  <c r="B218" i="21"/>
  <c r="A218" i="21"/>
  <c r="G218" i="21" s="1"/>
  <c r="H218" i="21" s="1"/>
  <c r="B217" i="21"/>
  <c r="A217" i="21"/>
  <c r="G217" i="21" s="1"/>
  <c r="H217" i="21" s="1"/>
  <c r="B216" i="21"/>
  <c r="A216" i="21"/>
  <c r="G216" i="21" s="1"/>
  <c r="H216" i="21" s="1"/>
  <c r="B215" i="21"/>
  <c r="A215" i="21"/>
  <c r="G215" i="21" s="1"/>
  <c r="H215" i="21" s="1"/>
  <c r="B214" i="21"/>
  <c r="A214" i="21"/>
  <c r="G214" i="21" s="1"/>
  <c r="H214" i="21" s="1"/>
  <c r="B213" i="21"/>
  <c r="A213" i="21"/>
  <c r="G213" i="21" s="1"/>
  <c r="H213" i="21" s="1"/>
  <c r="B212" i="21"/>
  <c r="A212" i="21"/>
  <c r="G212" i="21" s="1"/>
  <c r="H212" i="21" s="1"/>
  <c r="B211" i="21"/>
  <c r="A211" i="21"/>
  <c r="G211" i="21" s="1"/>
  <c r="H211" i="21" s="1"/>
  <c r="B210" i="21"/>
  <c r="A210" i="21"/>
  <c r="G210" i="21" s="1"/>
  <c r="H210" i="21" s="1"/>
  <c r="B209" i="21"/>
  <c r="A209" i="21"/>
  <c r="G209" i="21" s="1"/>
  <c r="H209" i="21" s="1"/>
  <c r="B208" i="21"/>
  <c r="A208" i="21"/>
  <c r="G208" i="21" s="1"/>
  <c r="H208" i="21" s="1"/>
  <c r="B207" i="21"/>
  <c r="A207" i="21"/>
  <c r="G207" i="21" s="1"/>
  <c r="H207" i="21" s="1"/>
  <c r="B206" i="21"/>
  <c r="A206" i="21"/>
  <c r="G206" i="21" s="1"/>
  <c r="H206" i="21" s="1"/>
  <c r="B205" i="21"/>
  <c r="A205" i="21"/>
  <c r="G205" i="21" s="1"/>
  <c r="H205" i="21" s="1"/>
  <c r="B204" i="21"/>
  <c r="A204" i="21"/>
  <c r="G204" i="21" s="1"/>
  <c r="H204" i="21" s="1"/>
  <c r="B203" i="21"/>
  <c r="A203" i="21"/>
  <c r="G203" i="21" s="1"/>
  <c r="H203" i="21" s="1"/>
  <c r="B202" i="21"/>
  <c r="A202" i="21"/>
  <c r="G202" i="21" s="1"/>
  <c r="H202" i="21" s="1"/>
  <c r="B201" i="21"/>
  <c r="A201" i="21"/>
  <c r="G201" i="21" s="1"/>
  <c r="H201" i="21" s="1"/>
  <c r="B200" i="21"/>
  <c r="A200" i="21"/>
  <c r="G200" i="21" s="1"/>
  <c r="H200" i="21" s="1"/>
  <c r="B199" i="21"/>
  <c r="A199" i="21"/>
  <c r="G199" i="21" s="1"/>
  <c r="H199" i="21" s="1"/>
  <c r="B198" i="21"/>
  <c r="A198" i="21"/>
  <c r="G198" i="21" s="1"/>
  <c r="H198" i="21" s="1"/>
  <c r="B197" i="21"/>
  <c r="A197" i="21"/>
  <c r="G197" i="21" s="1"/>
  <c r="H197" i="21" s="1"/>
  <c r="B196" i="21"/>
  <c r="A196" i="21"/>
  <c r="G196" i="21" s="1"/>
  <c r="H196" i="21" s="1"/>
  <c r="B195" i="21"/>
  <c r="A195" i="21"/>
  <c r="G195" i="21" s="1"/>
  <c r="H195" i="21" s="1"/>
  <c r="B194" i="21"/>
  <c r="A194" i="21"/>
  <c r="G194" i="21" s="1"/>
  <c r="H194" i="21" s="1"/>
  <c r="B193" i="21"/>
  <c r="A193" i="21"/>
  <c r="G193" i="21" s="1"/>
  <c r="H193" i="21" s="1"/>
  <c r="B192" i="21"/>
  <c r="A192" i="21"/>
  <c r="G192" i="21" s="1"/>
  <c r="H192" i="21" s="1"/>
  <c r="B191" i="21"/>
  <c r="A191" i="21"/>
  <c r="G191" i="21" s="1"/>
  <c r="H191" i="21" s="1"/>
  <c r="B190" i="21"/>
  <c r="A190" i="21"/>
  <c r="G190" i="21" s="1"/>
  <c r="H190" i="21" s="1"/>
  <c r="B189" i="21"/>
  <c r="A189" i="21"/>
  <c r="G189" i="21" s="1"/>
  <c r="H189" i="21" s="1"/>
  <c r="B188" i="21"/>
  <c r="A188" i="21"/>
  <c r="G188" i="21" s="1"/>
  <c r="H188" i="21" s="1"/>
  <c r="B187" i="21"/>
  <c r="A187" i="21"/>
  <c r="G187" i="21" s="1"/>
  <c r="H187" i="21" s="1"/>
  <c r="B186" i="21"/>
  <c r="A186" i="21"/>
  <c r="G186" i="21" s="1"/>
  <c r="H186" i="21" s="1"/>
  <c r="B185" i="21"/>
  <c r="A185" i="21"/>
  <c r="G185" i="21" s="1"/>
  <c r="H185" i="21" s="1"/>
  <c r="B184" i="21"/>
  <c r="A184" i="21"/>
  <c r="G184" i="21" s="1"/>
  <c r="H184" i="21" s="1"/>
  <c r="B183" i="21"/>
  <c r="A183" i="21"/>
  <c r="G183" i="21" s="1"/>
  <c r="H183" i="21" s="1"/>
  <c r="B182" i="21"/>
  <c r="A182" i="21"/>
  <c r="G182" i="21" s="1"/>
  <c r="H182" i="21" s="1"/>
  <c r="B181" i="21"/>
  <c r="A181" i="21"/>
  <c r="G181" i="21" s="1"/>
  <c r="H181" i="21" s="1"/>
  <c r="B180" i="21"/>
  <c r="A180" i="21"/>
  <c r="G180" i="21" s="1"/>
  <c r="H180" i="21" s="1"/>
  <c r="B179" i="21"/>
  <c r="A179" i="21"/>
  <c r="G179" i="21" s="1"/>
  <c r="H179" i="21" s="1"/>
  <c r="B178" i="21"/>
  <c r="A178" i="21"/>
  <c r="G178" i="21" s="1"/>
  <c r="H178" i="21" s="1"/>
  <c r="B177" i="21"/>
  <c r="A177" i="21"/>
  <c r="G177" i="21" s="1"/>
  <c r="H177" i="21" s="1"/>
  <c r="B176" i="21"/>
  <c r="A176" i="21"/>
  <c r="G176" i="21" s="1"/>
  <c r="H176" i="21" s="1"/>
  <c r="B175" i="21"/>
  <c r="A175" i="21"/>
  <c r="G175" i="21" s="1"/>
  <c r="H175" i="21" s="1"/>
  <c r="B174" i="21"/>
  <c r="A174" i="21"/>
  <c r="G174" i="21" s="1"/>
  <c r="H174" i="21" s="1"/>
  <c r="B173" i="21"/>
  <c r="A173" i="21"/>
  <c r="G173" i="21" s="1"/>
  <c r="H173" i="21" s="1"/>
  <c r="B172" i="21"/>
  <c r="A172" i="21"/>
  <c r="G172" i="21" s="1"/>
  <c r="H172" i="21" s="1"/>
  <c r="B171" i="21"/>
  <c r="A171" i="21"/>
  <c r="G171" i="21" s="1"/>
  <c r="H171" i="21" s="1"/>
  <c r="B170" i="21"/>
  <c r="A170" i="21"/>
  <c r="G170" i="21" s="1"/>
  <c r="H170" i="21" s="1"/>
  <c r="B169" i="21"/>
  <c r="A169" i="21"/>
  <c r="G169" i="21" s="1"/>
  <c r="H169" i="21" s="1"/>
  <c r="B168" i="21"/>
  <c r="A168" i="21"/>
  <c r="G168" i="21" s="1"/>
  <c r="H168" i="21" s="1"/>
  <c r="B167" i="21"/>
  <c r="A167" i="21"/>
  <c r="G167" i="21" s="1"/>
  <c r="H167" i="21" s="1"/>
  <c r="B166" i="21"/>
  <c r="A166" i="21"/>
  <c r="G166" i="21" s="1"/>
  <c r="H166" i="21" s="1"/>
  <c r="B165" i="21"/>
  <c r="A165" i="21"/>
  <c r="G165" i="21" s="1"/>
  <c r="H165" i="21" s="1"/>
  <c r="B164" i="21"/>
  <c r="A164" i="21"/>
  <c r="G164" i="21" s="1"/>
  <c r="H164" i="21" s="1"/>
  <c r="B163" i="21"/>
  <c r="A163" i="21"/>
  <c r="G163" i="21" s="1"/>
  <c r="H163" i="21" s="1"/>
  <c r="B162" i="21"/>
  <c r="A162" i="21"/>
  <c r="G162" i="21" s="1"/>
  <c r="H162" i="21" s="1"/>
  <c r="B161" i="21"/>
  <c r="A161" i="21"/>
  <c r="G161" i="21" s="1"/>
  <c r="H161" i="21" s="1"/>
  <c r="B160" i="21"/>
  <c r="A160" i="21"/>
  <c r="G160" i="21" s="1"/>
  <c r="H160" i="21" s="1"/>
  <c r="B159" i="21"/>
  <c r="A159" i="21"/>
  <c r="G159" i="21" s="1"/>
  <c r="H159" i="21" s="1"/>
  <c r="B158" i="21"/>
  <c r="A158" i="21"/>
  <c r="G158" i="21" s="1"/>
  <c r="H158" i="21" s="1"/>
  <c r="B157" i="21"/>
  <c r="A157" i="21"/>
  <c r="G157" i="21" s="1"/>
  <c r="H157" i="21" s="1"/>
  <c r="B156" i="21"/>
  <c r="A156" i="21"/>
  <c r="G156" i="21" s="1"/>
  <c r="H156" i="21" s="1"/>
  <c r="B155" i="21"/>
  <c r="A155" i="21"/>
  <c r="G155" i="21" s="1"/>
  <c r="H155" i="21" s="1"/>
  <c r="B154" i="21"/>
  <c r="A154" i="21"/>
  <c r="G154" i="21" s="1"/>
  <c r="H154" i="21" s="1"/>
  <c r="B153" i="21"/>
  <c r="A153" i="21"/>
  <c r="G153" i="21" s="1"/>
  <c r="H153" i="21" s="1"/>
  <c r="B152" i="21"/>
  <c r="A152" i="21"/>
  <c r="G152" i="21" s="1"/>
  <c r="H152" i="21" s="1"/>
  <c r="B151" i="21"/>
  <c r="A151" i="21"/>
  <c r="G151" i="21" s="1"/>
  <c r="H151" i="21" s="1"/>
  <c r="B150" i="21"/>
  <c r="A150" i="21"/>
  <c r="G150" i="21" s="1"/>
  <c r="H150" i="21" s="1"/>
  <c r="B149" i="21"/>
  <c r="A149" i="21"/>
  <c r="G149" i="21" s="1"/>
  <c r="H149" i="21" s="1"/>
  <c r="B148" i="21"/>
  <c r="A148" i="21"/>
  <c r="G148" i="21" s="1"/>
  <c r="H148" i="21" s="1"/>
  <c r="B147" i="21"/>
  <c r="A147" i="21"/>
  <c r="G147" i="21" s="1"/>
  <c r="H147" i="21" s="1"/>
  <c r="B146" i="21"/>
  <c r="A146" i="21"/>
  <c r="G146" i="21" s="1"/>
  <c r="H146" i="21" s="1"/>
  <c r="B145" i="21"/>
  <c r="A145" i="21"/>
  <c r="G145" i="21" s="1"/>
  <c r="H145" i="21" s="1"/>
  <c r="B144" i="21"/>
  <c r="A144" i="21"/>
  <c r="G144" i="21" s="1"/>
  <c r="H144" i="21" s="1"/>
  <c r="B143" i="21"/>
  <c r="A143" i="21"/>
  <c r="G143" i="21" s="1"/>
  <c r="H143" i="21" s="1"/>
  <c r="B142" i="21"/>
  <c r="A142" i="21"/>
  <c r="G142" i="21" s="1"/>
  <c r="H142" i="21" s="1"/>
  <c r="B141" i="21"/>
  <c r="A141" i="21"/>
  <c r="G141" i="21" s="1"/>
  <c r="H141" i="21" s="1"/>
  <c r="B140" i="21"/>
  <c r="A140" i="21"/>
  <c r="G140" i="21" s="1"/>
  <c r="H140" i="21" s="1"/>
  <c r="B139" i="21"/>
  <c r="A139" i="21"/>
  <c r="G139" i="21" s="1"/>
  <c r="H139" i="21" s="1"/>
  <c r="B138" i="21"/>
  <c r="A138" i="21"/>
  <c r="G138" i="21" s="1"/>
  <c r="H138" i="21" s="1"/>
  <c r="B137" i="21"/>
  <c r="A137" i="21"/>
  <c r="G137" i="21" s="1"/>
  <c r="H137" i="21" s="1"/>
  <c r="B136" i="21"/>
  <c r="A136" i="21"/>
  <c r="G136" i="21" s="1"/>
  <c r="H136" i="21" s="1"/>
  <c r="B135" i="21"/>
  <c r="A135" i="21"/>
  <c r="G135" i="21" s="1"/>
  <c r="H135" i="21" s="1"/>
  <c r="B134" i="21"/>
  <c r="A134" i="21"/>
  <c r="G134" i="21" s="1"/>
  <c r="H134" i="21" s="1"/>
  <c r="B133" i="21"/>
  <c r="A133" i="21"/>
  <c r="G133" i="21" s="1"/>
  <c r="H133" i="21" s="1"/>
  <c r="B132" i="21"/>
  <c r="A132" i="21"/>
  <c r="G132" i="21" s="1"/>
  <c r="H132" i="21" s="1"/>
  <c r="B131" i="21"/>
  <c r="A131" i="21"/>
  <c r="G131" i="21" s="1"/>
  <c r="H131" i="21" s="1"/>
  <c r="B130" i="21"/>
  <c r="A130" i="21"/>
  <c r="G130" i="21" s="1"/>
  <c r="H130" i="21" s="1"/>
  <c r="B129" i="21"/>
  <c r="A129" i="21"/>
  <c r="G129" i="21" s="1"/>
  <c r="H129" i="21" s="1"/>
  <c r="B128" i="21"/>
  <c r="A128" i="21"/>
  <c r="G128" i="21" s="1"/>
  <c r="H128" i="21" s="1"/>
  <c r="B127" i="21"/>
  <c r="A127" i="21"/>
  <c r="G127" i="21" s="1"/>
  <c r="H127" i="21" s="1"/>
  <c r="B126" i="21"/>
  <c r="A126" i="21"/>
  <c r="G126" i="21" s="1"/>
  <c r="H126" i="21" s="1"/>
  <c r="B125" i="21"/>
  <c r="A125" i="21"/>
  <c r="G125" i="21" s="1"/>
  <c r="H125" i="21" s="1"/>
  <c r="B124" i="21"/>
  <c r="A124" i="21"/>
  <c r="G124" i="21" s="1"/>
  <c r="H124" i="21" s="1"/>
  <c r="B123" i="21"/>
  <c r="A123" i="21"/>
  <c r="G123" i="21" s="1"/>
  <c r="H123" i="21" s="1"/>
  <c r="B122" i="21"/>
  <c r="A122" i="21"/>
  <c r="G122" i="21" s="1"/>
  <c r="H122" i="21" s="1"/>
  <c r="B121" i="21"/>
  <c r="A121" i="21"/>
  <c r="G121" i="21" s="1"/>
  <c r="H121" i="21" s="1"/>
  <c r="B120" i="21"/>
  <c r="A120" i="21"/>
  <c r="G120" i="21" s="1"/>
  <c r="H120" i="21" s="1"/>
  <c r="B119" i="21"/>
  <c r="A119" i="21"/>
  <c r="G119" i="21" s="1"/>
  <c r="H119" i="21" s="1"/>
  <c r="B118" i="21"/>
  <c r="A118" i="21"/>
  <c r="G118" i="21" s="1"/>
  <c r="H118" i="21" s="1"/>
  <c r="B117" i="21"/>
  <c r="A117" i="21"/>
  <c r="G117" i="21" s="1"/>
  <c r="H117" i="21" s="1"/>
  <c r="B116" i="21"/>
  <c r="A116" i="21"/>
  <c r="G116" i="21" s="1"/>
  <c r="H116" i="21" s="1"/>
  <c r="B115" i="21"/>
  <c r="A115" i="21"/>
  <c r="G115" i="21" s="1"/>
  <c r="H115" i="21" s="1"/>
  <c r="B114" i="21"/>
  <c r="A114" i="21"/>
  <c r="G114" i="21" s="1"/>
  <c r="H114" i="21" s="1"/>
  <c r="B113" i="21"/>
  <c r="A113" i="21"/>
  <c r="G113" i="21" s="1"/>
  <c r="H113" i="21" s="1"/>
  <c r="B112" i="21"/>
  <c r="A112" i="21"/>
  <c r="G112" i="21" s="1"/>
  <c r="H112" i="21" s="1"/>
  <c r="B111" i="21"/>
  <c r="A111" i="21"/>
  <c r="G111" i="21" s="1"/>
  <c r="H111" i="21" s="1"/>
  <c r="B110" i="21"/>
  <c r="A110" i="21"/>
  <c r="G110" i="21" s="1"/>
  <c r="H110" i="21" s="1"/>
  <c r="B109" i="21"/>
  <c r="A109" i="21"/>
  <c r="G109" i="21" s="1"/>
  <c r="H109" i="21" s="1"/>
  <c r="B108" i="21"/>
  <c r="A108" i="21"/>
  <c r="G108" i="21" s="1"/>
  <c r="H108" i="21" s="1"/>
  <c r="B107" i="21"/>
  <c r="A107" i="21"/>
  <c r="G107" i="21" s="1"/>
  <c r="H107" i="21" s="1"/>
  <c r="B106" i="21"/>
  <c r="A106" i="21"/>
  <c r="G106" i="21" s="1"/>
  <c r="H106" i="21" s="1"/>
  <c r="B105" i="21"/>
  <c r="A105" i="21"/>
  <c r="G105" i="21" s="1"/>
  <c r="H105" i="21" s="1"/>
  <c r="B104" i="21"/>
  <c r="A104" i="21"/>
  <c r="G104" i="21" s="1"/>
  <c r="H104" i="21" s="1"/>
  <c r="B103" i="21"/>
  <c r="A103" i="21"/>
  <c r="G103" i="21" s="1"/>
  <c r="H103" i="21" s="1"/>
  <c r="B102" i="21"/>
  <c r="A102" i="21"/>
  <c r="G102" i="21" s="1"/>
  <c r="H102" i="21" s="1"/>
  <c r="B101" i="21"/>
  <c r="A101" i="21"/>
  <c r="G101" i="21" s="1"/>
  <c r="H101" i="21" s="1"/>
  <c r="B100" i="21"/>
  <c r="A100" i="21"/>
  <c r="G100" i="21" s="1"/>
  <c r="H100" i="21" s="1"/>
  <c r="B99" i="21"/>
  <c r="A99" i="21"/>
  <c r="G99" i="21" s="1"/>
  <c r="H99" i="21" s="1"/>
  <c r="B98" i="21"/>
  <c r="A98" i="21"/>
  <c r="G98" i="21" s="1"/>
  <c r="H98" i="21" s="1"/>
  <c r="B97" i="21"/>
  <c r="A97" i="21"/>
  <c r="G97" i="21" s="1"/>
  <c r="H97" i="21" s="1"/>
  <c r="B96" i="21"/>
  <c r="A96" i="21"/>
  <c r="G96" i="21" s="1"/>
  <c r="H96" i="21" s="1"/>
  <c r="B95" i="21"/>
  <c r="A95" i="21"/>
  <c r="G95" i="21" s="1"/>
  <c r="H95" i="21" s="1"/>
  <c r="B94" i="21"/>
  <c r="A94" i="21"/>
  <c r="G94" i="21" s="1"/>
  <c r="H94" i="21" s="1"/>
  <c r="B93" i="21"/>
  <c r="A93" i="21"/>
  <c r="G93" i="21" s="1"/>
  <c r="H93" i="21" s="1"/>
  <c r="B92" i="21"/>
  <c r="A92" i="21"/>
  <c r="G92" i="21" s="1"/>
  <c r="H92" i="21" s="1"/>
  <c r="B91" i="21"/>
  <c r="A91" i="21"/>
  <c r="G91" i="21" s="1"/>
  <c r="H91" i="21" s="1"/>
  <c r="B90" i="21"/>
  <c r="A90" i="21"/>
  <c r="G90" i="21" s="1"/>
  <c r="H90" i="21" s="1"/>
  <c r="B89" i="21"/>
  <c r="A89" i="21"/>
  <c r="G89" i="21" s="1"/>
  <c r="H89" i="21" s="1"/>
  <c r="B88" i="21"/>
  <c r="A88" i="21"/>
  <c r="G88" i="21" s="1"/>
  <c r="H88" i="21" s="1"/>
  <c r="B87" i="21"/>
  <c r="A87" i="21"/>
  <c r="G87" i="21" s="1"/>
  <c r="H87" i="21" s="1"/>
  <c r="B86" i="21"/>
  <c r="A86" i="21"/>
  <c r="G86" i="21" s="1"/>
  <c r="H86" i="21" s="1"/>
  <c r="B85" i="21"/>
  <c r="A85" i="21"/>
  <c r="G85" i="21" s="1"/>
  <c r="H85" i="21" s="1"/>
  <c r="B84" i="21"/>
  <c r="A84" i="21"/>
  <c r="G84" i="21" s="1"/>
  <c r="H84" i="21" s="1"/>
  <c r="B83" i="21"/>
  <c r="A83" i="21"/>
  <c r="G83" i="21" s="1"/>
  <c r="H83" i="21" s="1"/>
  <c r="B82" i="21"/>
  <c r="A82" i="21"/>
  <c r="G82" i="21" s="1"/>
  <c r="H82" i="21" s="1"/>
  <c r="B81" i="21"/>
  <c r="A81" i="21"/>
  <c r="G81" i="21" s="1"/>
  <c r="H81" i="21" s="1"/>
  <c r="B80" i="21"/>
  <c r="A80" i="21"/>
  <c r="G80" i="21" s="1"/>
  <c r="H80" i="21" s="1"/>
  <c r="B79" i="21"/>
  <c r="A79" i="21"/>
  <c r="G79" i="21" s="1"/>
  <c r="H79" i="21" s="1"/>
  <c r="B78" i="21"/>
  <c r="A78" i="21"/>
  <c r="G78" i="21" s="1"/>
  <c r="H78" i="21" s="1"/>
  <c r="B77" i="21"/>
  <c r="A77" i="21"/>
  <c r="G77" i="21" s="1"/>
  <c r="H77" i="21" s="1"/>
  <c r="B76" i="21"/>
  <c r="A76" i="21"/>
  <c r="G76" i="21" s="1"/>
  <c r="H76" i="21" s="1"/>
  <c r="B75" i="21"/>
  <c r="A75" i="21"/>
  <c r="G75" i="21" s="1"/>
  <c r="H75" i="21" s="1"/>
  <c r="B74" i="21"/>
  <c r="A74" i="21"/>
  <c r="G74" i="21" s="1"/>
  <c r="H74" i="21" s="1"/>
  <c r="B73" i="21"/>
  <c r="A73" i="21"/>
  <c r="G73" i="21" s="1"/>
  <c r="H73" i="21" s="1"/>
  <c r="B72" i="21"/>
  <c r="A72" i="21"/>
  <c r="G72" i="21" s="1"/>
  <c r="H72" i="21" s="1"/>
  <c r="B71" i="21"/>
  <c r="A71" i="21"/>
  <c r="G71" i="21" s="1"/>
  <c r="H71" i="21" s="1"/>
  <c r="B70" i="21"/>
  <c r="A70" i="21"/>
  <c r="G70" i="21" s="1"/>
  <c r="H70" i="21" s="1"/>
  <c r="B69" i="21"/>
  <c r="A69" i="21"/>
  <c r="G69" i="21" s="1"/>
  <c r="H69" i="21" s="1"/>
  <c r="B68" i="21"/>
  <c r="A68" i="21"/>
  <c r="G68" i="21" s="1"/>
  <c r="H68" i="21" s="1"/>
  <c r="B67" i="21"/>
  <c r="A67" i="21"/>
  <c r="G67" i="21" s="1"/>
  <c r="H67" i="21" s="1"/>
  <c r="B66" i="21"/>
  <c r="A66" i="21"/>
  <c r="G66" i="21" s="1"/>
  <c r="H66" i="21" s="1"/>
  <c r="B65" i="21"/>
  <c r="A65" i="21"/>
  <c r="G65" i="21" s="1"/>
  <c r="H65" i="21" s="1"/>
  <c r="B64" i="21"/>
  <c r="A64" i="21"/>
  <c r="G64" i="21" s="1"/>
  <c r="H64" i="21" s="1"/>
  <c r="B63" i="21"/>
  <c r="A63" i="21"/>
  <c r="G63" i="21" s="1"/>
  <c r="H63" i="21" s="1"/>
  <c r="B62" i="21"/>
  <c r="A62" i="21"/>
  <c r="G62" i="21" s="1"/>
  <c r="H62" i="21" s="1"/>
  <c r="B61" i="21"/>
  <c r="A61" i="21"/>
  <c r="G61" i="21" s="1"/>
  <c r="H61" i="21" s="1"/>
  <c r="B60" i="21"/>
  <c r="A60" i="21"/>
  <c r="G60" i="21" s="1"/>
  <c r="H60" i="21" s="1"/>
  <c r="B59" i="21"/>
  <c r="A59" i="21"/>
  <c r="G59" i="21" s="1"/>
  <c r="H59" i="21" s="1"/>
  <c r="B58" i="21"/>
  <c r="A58" i="21"/>
  <c r="G58" i="21" s="1"/>
  <c r="H58" i="21" s="1"/>
  <c r="B57" i="21"/>
  <c r="A57" i="21"/>
  <c r="G57" i="21" s="1"/>
  <c r="H57" i="21" s="1"/>
  <c r="B56" i="21"/>
  <c r="A56" i="21"/>
  <c r="G56" i="21" s="1"/>
  <c r="H56" i="21" s="1"/>
  <c r="B55" i="21"/>
  <c r="A55" i="21"/>
  <c r="G55" i="21" s="1"/>
  <c r="H55" i="21" s="1"/>
  <c r="B54" i="21"/>
  <c r="A54" i="21"/>
  <c r="G54" i="21" s="1"/>
  <c r="H54" i="21" s="1"/>
  <c r="B53" i="21"/>
  <c r="A53" i="21"/>
  <c r="G53" i="21" s="1"/>
  <c r="H53" i="21" s="1"/>
  <c r="B52" i="21"/>
  <c r="A52" i="21"/>
  <c r="G52" i="21" s="1"/>
  <c r="H52" i="21" s="1"/>
  <c r="B51" i="21"/>
  <c r="A51" i="21"/>
  <c r="G51" i="21" s="1"/>
  <c r="H51" i="21" s="1"/>
  <c r="B50" i="21"/>
  <c r="A50" i="21"/>
  <c r="G50" i="21" s="1"/>
  <c r="H50" i="21" s="1"/>
  <c r="B49" i="21"/>
  <c r="A49" i="21"/>
  <c r="G49" i="21" s="1"/>
  <c r="H49" i="21" s="1"/>
  <c r="B48" i="21"/>
  <c r="A48" i="21"/>
  <c r="G48" i="21" s="1"/>
  <c r="H48" i="21" s="1"/>
  <c r="B47" i="21"/>
  <c r="A47" i="21"/>
  <c r="G47" i="21" s="1"/>
  <c r="H47" i="21" s="1"/>
  <c r="B46" i="21"/>
  <c r="A46" i="21"/>
  <c r="G46" i="21" s="1"/>
  <c r="H46" i="21" s="1"/>
  <c r="B45" i="21"/>
  <c r="A45" i="21"/>
  <c r="G45" i="21" s="1"/>
  <c r="H45" i="21" s="1"/>
  <c r="B44" i="21"/>
  <c r="A44" i="21"/>
  <c r="G44" i="21" s="1"/>
  <c r="H44" i="21" s="1"/>
  <c r="B43" i="21"/>
  <c r="A43" i="21"/>
  <c r="G43" i="21" s="1"/>
  <c r="H43" i="21" s="1"/>
  <c r="B42" i="21"/>
  <c r="A42" i="21"/>
  <c r="G42" i="21" s="1"/>
  <c r="H42" i="21" s="1"/>
  <c r="B41" i="21"/>
  <c r="A41" i="21"/>
  <c r="G41" i="21" s="1"/>
  <c r="H41" i="21" s="1"/>
  <c r="B40" i="21"/>
  <c r="A40" i="21"/>
  <c r="G40" i="21" s="1"/>
  <c r="H40" i="21" s="1"/>
  <c r="B39" i="21"/>
  <c r="A39" i="21"/>
  <c r="G39" i="21" s="1"/>
  <c r="H39" i="21" s="1"/>
  <c r="B38" i="21"/>
  <c r="A38" i="21"/>
  <c r="G38" i="21" s="1"/>
  <c r="H38" i="21" s="1"/>
  <c r="B37" i="21"/>
  <c r="A37" i="21"/>
  <c r="G37" i="21" s="1"/>
  <c r="H37" i="21" s="1"/>
  <c r="B36" i="21"/>
  <c r="A36" i="21"/>
  <c r="G36" i="21" s="1"/>
  <c r="H36" i="21" s="1"/>
  <c r="B35" i="21"/>
  <c r="A35" i="21"/>
  <c r="G35" i="21" s="1"/>
  <c r="H35" i="21" s="1"/>
  <c r="B34" i="21"/>
  <c r="A34" i="21"/>
  <c r="G34" i="21" s="1"/>
  <c r="H34" i="21" s="1"/>
  <c r="B33" i="21"/>
  <c r="A33" i="21"/>
  <c r="G33" i="21" s="1"/>
  <c r="H33" i="21" s="1"/>
  <c r="B32" i="21"/>
  <c r="A32" i="21"/>
  <c r="G32" i="21" s="1"/>
  <c r="H32" i="21" s="1"/>
  <c r="B31" i="21"/>
  <c r="A31" i="21"/>
  <c r="G31" i="21" s="1"/>
  <c r="H31" i="21" s="1"/>
  <c r="B30" i="21"/>
  <c r="A30" i="21"/>
  <c r="G30" i="21" s="1"/>
  <c r="H30" i="21" s="1"/>
  <c r="B29" i="21"/>
  <c r="A29" i="21"/>
  <c r="G29" i="21" s="1"/>
  <c r="H29" i="21" s="1"/>
  <c r="B28" i="21"/>
  <c r="A28" i="21"/>
  <c r="G28" i="21" s="1"/>
  <c r="H28" i="21" s="1"/>
  <c r="B27" i="21"/>
  <c r="A27" i="21"/>
  <c r="G27" i="21" s="1"/>
  <c r="H27" i="21" s="1"/>
  <c r="B26" i="21"/>
  <c r="A26" i="21"/>
  <c r="G26" i="21" s="1"/>
  <c r="H26" i="21" s="1"/>
  <c r="B25" i="21"/>
  <c r="A25" i="21"/>
  <c r="G25" i="21" s="1"/>
  <c r="H25" i="21" s="1"/>
  <c r="B24" i="21"/>
  <c r="A24" i="21"/>
  <c r="G24" i="21" s="1"/>
  <c r="H24" i="21" s="1"/>
  <c r="B23" i="21"/>
  <c r="A23" i="21"/>
  <c r="G23" i="21" s="1"/>
  <c r="H23" i="21" s="1"/>
  <c r="B22" i="21"/>
  <c r="A22" i="21"/>
  <c r="G22" i="21" s="1"/>
  <c r="H22" i="21" s="1"/>
  <c r="B21" i="21"/>
  <c r="A21" i="21"/>
  <c r="G21" i="21" s="1"/>
  <c r="H21" i="21" s="1"/>
  <c r="B20" i="21"/>
  <c r="A20" i="21"/>
  <c r="G20" i="21" s="1"/>
  <c r="H20" i="21" s="1"/>
  <c r="B19" i="21"/>
  <c r="A19" i="21"/>
  <c r="G19" i="21" s="1"/>
  <c r="H19" i="21" s="1"/>
  <c r="B18" i="21"/>
  <c r="A18" i="21"/>
  <c r="G18" i="21" s="1"/>
  <c r="H18" i="21" s="1"/>
  <c r="B17" i="21"/>
  <c r="A17" i="21"/>
  <c r="G17" i="21" s="1"/>
  <c r="H17" i="21" s="1"/>
  <c r="B16" i="21"/>
  <c r="A16" i="21"/>
  <c r="G16" i="21" s="1"/>
  <c r="H16" i="21" s="1"/>
  <c r="B15" i="21"/>
  <c r="A15" i="21"/>
  <c r="G15" i="21" s="1"/>
  <c r="H15" i="21" s="1"/>
  <c r="B14" i="21"/>
  <c r="A14" i="21"/>
  <c r="G14" i="21" s="1"/>
  <c r="H14" i="21" s="1"/>
  <c r="B13" i="21"/>
  <c r="A13" i="21"/>
  <c r="G13" i="21" s="1"/>
  <c r="H13" i="21" s="1"/>
  <c r="B12" i="21"/>
  <c r="A12" i="21"/>
  <c r="G12" i="21" s="1"/>
  <c r="H12" i="21" s="1"/>
  <c r="B11" i="21"/>
  <c r="A11" i="21"/>
  <c r="G11" i="21" s="1"/>
  <c r="H11" i="21" s="1"/>
  <c r="B10" i="21"/>
  <c r="A10" i="21"/>
  <c r="G10" i="21" s="1"/>
  <c r="H10" i="21" s="1"/>
  <c r="B9" i="21"/>
  <c r="A9" i="21"/>
  <c r="G9" i="21" s="1"/>
  <c r="H9" i="21" s="1"/>
  <c r="B8" i="21"/>
  <c r="A8" i="21"/>
  <c r="G8" i="21" s="1"/>
  <c r="H8" i="21" s="1"/>
  <c r="B7" i="21"/>
  <c r="A7" i="21"/>
  <c r="G7" i="21" s="1"/>
  <c r="H7" i="21" s="1"/>
  <c r="B6" i="21"/>
  <c r="A6" i="21"/>
  <c r="G6" i="21" s="1"/>
  <c r="H6" i="21" s="1"/>
  <c r="B5" i="21"/>
  <c r="A5" i="21"/>
  <c r="G5" i="21" s="1"/>
  <c r="H5" i="21" s="1"/>
  <c r="B4" i="21"/>
  <c r="A4" i="21"/>
  <c r="G4" i="21" s="1"/>
  <c r="H4" i="21" s="1"/>
  <c r="B3" i="21"/>
  <c r="A3" i="21"/>
  <c r="G3" i="21" s="1"/>
  <c r="B2" i="21"/>
  <c r="A2" i="21"/>
  <c r="G2" i="21" s="1"/>
  <c r="B18" i="19"/>
  <c r="B12" i="19"/>
  <c r="B10" i="19"/>
  <c r="B5" i="19"/>
  <c r="D8" i="19"/>
  <c r="F24" i="20" a="1"/>
  <c r="E21" i="19"/>
  <c r="F14" i="22" l="1"/>
  <c r="B21" i="22"/>
  <c r="H2" i="21"/>
  <c r="O3" i="21"/>
  <c r="H3" i="21"/>
  <c r="P3" i="21" s="1"/>
  <c r="E2" i="21"/>
  <c r="H26" i="20"/>
  <c r="G26" i="20"/>
  <c r="F26" i="20"/>
  <c r="H25" i="20"/>
  <c r="G25" i="20"/>
  <c r="F25" i="20"/>
  <c r="H24" i="20"/>
  <c r="G24" i="20"/>
  <c r="F24" i="20"/>
  <c r="B11" i="19"/>
  <c r="B13" i="19" s="1"/>
  <c r="B14" i="19"/>
  <c r="B15" i="19" s="1"/>
  <c r="B19" i="19"/>
  <c r="B26" i="22" l="1"/>
  <c r="B28" i="22" s="1"/>
  <c r="K2" i="21"/>
  <c r="P4" i="21"/>
  <c r="R3" i="21"/>
  <c r="O4" i="21"/>
  <c r="Q3" i="21"/>
  <c r="B21" i="19"/>
  <c r="B16" i="19"/>
  <c r="E20" i="19"/>
  <c r="O5" i="21" l="1"/>
  <c r="Q4" i="21"/>
  <c r="P5" i="21"/>
  <c r="R4" i="21"/>
  <c r="P6" i="21" l="1"/>
  <c r="R5" i="21"/>
  <c r="O6" i="21"/>
  <c r="Q5" i="21"/>
  <c r="O7" i="21" l="1"/>
  <c r="Q6" i="21"/>
  <c r="P7" i="21"/>
  <c r="R6" i="21"/>
  <c r="P8" i="21" l="1"/>
  <c r="R7" i="21"/>
  <c r="O8" i="21"/>
  <c r="Q7" i="21"/>
  <c r="O9" i="21" l="1"/>
  <c r="Q8" i="21"/>
  <c r="P9" i="21"/>
  <c r="R8" i="21"/>
  <c r="P10" i="21" l="1"/>
  <c r="R9" i="21"/>
  <c r="O10" i="21"/>
  <c r="Q9" i="21"/>
  <c r="O11" i="21" l="1"/>
  <c r="Q10" i="21"/>
  <c r="P11" i="21"/>
  <c r="R10" i="21"/>
  <c r="P12" i="21" l="1"/>
  <c r="R11" i="21"/>
  <c r="O12" i="21"/>
  <c r="Q11" i="21"/>
  <c r="O13" i="21" l="1"/>
  <c r="Q12" i="21"/>
  <c r="P13" i="21"/>
  <c r="R12" i="21"/>
  <c r="P14" i="21" l="1"/>
  <c r="R13" i="21"/>
  <c r="O14" i="21"/>
  <c r="Q13" i="21"/>
  <c r="O15" i="21" l="1"/>
  <c r="Q14" i="21"/>
  <c r="P15" i="21"/>
  <c r="R14" i="21"/>
  <c r="P16" i="21" l="1"/>
  <c r="R15" i="21"/>
  <c r="O16" i="21"/>
  <c r="Q15" i="21"/>
  <c r="O17" i="21" l="1"/>
  <c r="Q16" i="21"/>
  <c r="P17" i="21"/>
  <c r="R16" i="21"/>
  <c r="P18" i="21" l="1"/>
  <c r="R17" i="21"/>
  <c r="O18" i="21"/>
  <c r="Q17" i="21"/>
  <c r="O19" i="21" l="1"/>
  <c r="Q18" i="21"/>
  <c r="P19" i="21"/>
  <c r="R18" i="21"/>
  <c r="P20" i="21" l="1"/>
  <c r="R19" i="21"/>
  <c r="O20" i="21"/>
  <c r="Q19" i="21"/>
  <c r="O21" i="21" l="1"/>
  <c r="Q20" i="21"/>
  <c r="P21" i="21"/>
  <c r="R20" i="21"/>
  <c r="P22" i="21" l="1"/>
  <c r="R21" i="21"/>
  <c r="O22" i="21"/>
  <c r="Q21" i="21"/>
  <c r="O23" i="21" l="1"/>
  <c r="Q22" i="21"/>
  <c r="P23" i="21"/>
  <c r="R22" i="21"/>
  <c r="P24" i="21" l="1"/>
  <c r="R23" i="21"/>
  <c r="O24" i="21"/>
  <c r="Q23" i="21"/>
  <c r="O25" i="21" l="1"/>
  <c r="Q24" i="21"/>
  <c r="P25" i="21"/>
  <c r="R24" i="21"/>
  <c r="P26" i="21" l="1"/>
  <c r="R25" i="21"/>
  <c r="O26" i="21"/>
  <c r="Q25" i="21"/>
  <c r="O27" i="21" l="1"/>
  <c r="Q26" i="21"/>
  <c r="P27" i="21"/>
  <c r="R26" i="21"/>
  <c r="P28" i="21" l="1"/>
  <c r="R27" i="21"/>
  <c r="O28" i="21"/>
  <c r="Q27" i="21"/>
  <c r="O29" i="21" l="1"/>
  <c r="Q28" i="21"/>
  <c r="P29" i="21"/>
  <c r="R28" i="21"/>
  <c r="P30" i="21" l="1"/>
  <c r="R29" i="21"/>
  <c r="O30" i="21"/>
  <c r="Q29" i="21"/>
  <c r="O31" i="21" l="1"/>
  <c r="Q30" i="21"/>
  <c r="P31" i="21"/>
  <c r="R30" i="21"/>
  <c r="P32" i="21" l="1"/>
  <c r="R31" i="21"/>
  <c r="O32" i="21"/>
  <c r="Q31" i="21"/>
  <c r="O33" i="21" l="1"/>
  <c r="Q32" i="21"/>
  <c r="P33" i="21"/>
  <c r="R32" i="21"/>
  <c r="P34" i="21" l="1"/>
  <c r="R33" i="21"/>
  <c r="O34" i="21"/>
  <c r="Q33" i="21"/>
  <c r="O35" i="21" l="1"/>
  <c r="Q34" i="21"/>
  <c r="P35" i="21"/>
  <c r="R34" i="21"/>
  <c r="P36" i="21" l="1"/>
  <c r="R35" i="21"/>
  <c r="O36" i="21"/>
  <c r="Q35" i="21"/>
  <c r="O37" i="21" l="1"/>
  <c r="Q36" i="21"/>
  <c r="P37" i="21"/>
  <c r="R36" i="21"/>
  <c r="P38" i="21" l="1"/>
  <c r="R37" i="21"/>
  <c r="O38" i="21"/>
  <c r="Q37" i="21"/>
  <c r="O39" i="21" l="1"/>
  <c r="Q38" i="21"/>
  <c r="P39" i="21"/>
  <c r="R38" i="21"/>
  <c r="P40" i="21" l="1"/>
  <c r="R39" i="21"/>
  <c r="O40" i="21"/>
  <c r="Q39" i="21"/>
  <c r="O41" i="21" l="1"/>
  <c r="Q40" i="21"/>
  <c r="P41" i="21"/>
  <c r="R40" i="21"/>
  <c r="P42" i="21" l="1"/>
  <c r="R41" i="21"/>
  <c r="O42" i="21"/>
  <c r="Q41" i="21"/>
  <c r="O43" i="21" l="1"/>
  <c r="Q42" i="21"/>
  <c r="P43" i="21"/>
  <c r="R42" i="21"/>
  <c r="P44" i="21" l="1"/>
  <c r="R43" i="21"/>
  <c r="O44" i="21"/>
  <c r="Q43" i="21"/>
  <c r="O45" i="21" l="1"/>
  <c r="Q44" i="21"/>
  <c r="P45" i="21"/>
  <c r="R44" i="21"/>
  <c r="P46" i="21" l="1"/>
  <c r="R45" i="21"/>
  <c r="O46" i="21"/>
  <c r="Q45" i="21"/>
  <c r="O47" i="21" l="1"/>
  <c r="Q46" i="21"/>
  <c r="P47" i="21"/>
  <c r="R46" i="21"/>
  <c r="P48" i="21" l="1"/>
  <c r="R47" i="21"/>
  <c r="O48" i="21"/>
  <c r="Q47" i="21"/>
  <c r="O49" i="21" l="1"/>
  <c r="Q48" i="21"/>
  <c r="P49" i="21"/>
  <c r="R48" i="21"/>
  <c r="P50" i="21" l="1"/>
  <c r="R49" i="21"/>
  <c r="O50" i="21"/>
  <c r="Q49" i="21"/>
  <c r="O51" i="21" l="1"/>
  <c r="Q50" i="21"/>
  <c r="P51" i="21"/>
  <c r="R50" i="21"/>
  <c r="P52" i="21" l="1"/>
  <c r="R51" i="21"/>
  <c r="O52" i="21"/>
  <c r="Q51" i="21"/>
  <c r="O53" i="21" l="1"/>
  <c r="Q52" i="21"/>
  <c r="P53" i="21"/>
  <c r="R52" i="21"/>
  <c r="P54" i="21" l="1"/>
  <c r="R53" i="21"/>
  <c r="O54" i="21"/>
  <c r="Q53" i="21"/>
  <c r="O55" i="21" l="1"/>
  <c r="Q54" i="21"/>
  <c r="P55" i="21"/>
  <c r="R54" i="21"/>
  <c r="P56" i="21" l="1"/>
  <c r="R55" i="21"/>
  <c r="O56" i="21"/>
  <c r="Q55" i="21"/>
  <c r="O57" i="21" l="1"/>
  <c r="Q56" i="21"/>
  <c r="P57" i="21"/>
  <c r="R56" i="21"/>
  <c r="P58" i="21" l="1"/>
  <c r="R57" i="21"/>
  <c r="O58" i="21"/>
  <c r="Q57" i="21"/>
  <c r="O59" i="21" l="1"/>
  <c r="Q58" i="21"/>
  <c r="P59" i="21"/>
  <c r="R58" i="21"/>
  <c r="P60" i="21" l="1"/>
  <c r="R59" i="21"/>
  <c r="O60" i="21"/>
  <c r="Q59" i="21"/>
  <c r="O61" i="21" l="1"/>
  <c r="Q60" i="21"/>
  <c r="P61" i="21"/>
  <c r="R60" i="21"/>
  <c r="P62" i="21" l="1"/>
  <c r="R61" i="21"/>
  <c r="O62" i="21"/>
  <c r="Q61" i="21"/>
  <c r="O63" i="21" l="1"/>
  <c r="Q62" i="21"/>
  <c r="P63" i="21"/>
  <c r="R62" i="21"/>
  <c r="P64" i="21" l="1"/>
  <c r="R63" i="21"/>
  <c r="O64" i="21"/>
  <c r="Q63" i="21"/>
  <c r="O65" i="21" l="1"/>
  <c r="Q64" i="21"/>
  <c r="P65" i="21"/>
  <c r="R64" i="21"/>
  <c r="P66" i="21" l="1"/>
  <c r="R65" i="21"/>
  <c r="O66" i="21"/>
  <c r="Q65" i="21"/>
  <c r="O67" i="21" l="1"/>
  <c r="Q66" i="21"/>
  <c r="P67" i="21"/>
  <c r="R66" i="21"/>
  <c r="P68" i="21" l="1"/>
  <c r="R67" i="21"/>
  <c r="O68" i="21"/>
  <c r="Q67" i="21"/>
  <c r="O69" i="21" l="1"/>
  <c r="Q68" i="21"/>
  <c r="P69" i="21"/>
  <c r="R68" i="21"/>
  <c r="P70" i="21" l="1"/>
  <c r="R69" i="21"/>
  <c r="O70" i="21"/>
  <c r="Q69" i="21"/>
  <c r="O71" i="21" l="1"/>
  <c r="Q70" i="21"/>
  <c r="P71" i="21"/>
  <c r="R70" i="21"/>
  <c r="P72" i="21" l="1"/>
  <c r="R71" i="21"/>
  <c r="O72" i="21"/>
  <c r="Q71" i="21"/>
  <c r="O73" i="21" l="1"/>
  <c r="Q72" i="21"/>
  <c r="P73" i="21"/>
  <c r="R72" i="21"/>
  <c r="P74" i="21" l="1"/>
  <c r="R73" i="21"/>
  <c r="O74" i="21"/>
  <c r="Q73" i="21"/>
  <c r="O75" i="21" l="1"/>
  <c r="Q74" i="21"/>
  <c r="P75" i="21"/>
  <c r="R74" i="21"/>
  <c r="P76" i="21" l="1"/>
  <c r="R75" i="21"/>
  <c r="O76" i="21"/>
  <c r="Q75" i="21"/>
  <c r="O77" i="21" l="1"/>
  <c r="Q76" i="21"/>
  <c r="P77" i="21"/>
  <c r="R76" i="21"/>
  <c r="P78" i="21" l="1"/>
  <c r="R77" i="21"/>
  <c r="O78" i="21"/>
  <c r="Q77" i="21"/>
  <c r="O79" i="21" l="1"/>
  <c r="Q78" i="21"/>
  <c r="P79" i="21"/>
  <c r="R78" i="21"/>
  <c r="P80" i="21" l="1"/>
  <c r="R79" i="21"/>
  <c r="O80" i="21"/>
  <c r="Q79" i="21"/>
  <c r="O81" i="21" l="1"/>
  <c r="Q80" i="21"/>
  <c r="P81" i="21"/>
  <c r="R80" i="21"/>
  <c r="P82" i="21" l="1"/>
  <c r="R81" i="21"/>
  <c r="O82" i="21"/>
  <c r="Q81" i="21"/>
  <c r="O83" i="21" l="1"/>
  <c r="Q82" i="21"/>
  <c r="P83" i="21"/>
  <c r="R82" i="21"/>
  <c r="P84" i="21" l="1"/>
  <c r="R83" i="21"/>
  <c r="O84" i="21"/>
  <c r="Q83" i="21"/>
  <c r="O85" i="21" l="1"/>
  <c r="Q84" i="21"/>
  <c r="P85" i="21"/>
  <c r="R84" i="21"/>
  <c r="P86" i="21" l="1"/>
  <c r="R85" i="21"/>
  <c r="O86" i="21"/>
  <c r="Q85" i="21"/>
  <c r="O87" i="21" l="1"/>
  <c r="Q86" i="21"/>
  <c r="P87" i="21"/>
  <c r="R86" i="21"/>
  <c r="P88" i="21" l="1"/>
  <c r="R87" i="21"/>
  <c r="O88" i="21"/>
  <c r="Q87" i="21"/>
  <c r="O89" i="21" l="1"/>
  <c r="Q88" i="21"/>
  <c r="P89" i="21"/>
  <c r="R88" i="21"/>
  <c r="P90" i="21" l="1"/>
  <c r="R89" i="21"/>
  <c r="O90" i="21"/>
  <c r="Q89" i="21"/>
  <c r="O91" i="21" l="1"/>
  <c r="Q90" i="21"/>
  <c r="P91" i="21"/>
  <c r="R90" i="21"/>
  <c r="P92" i="21" l="1"/>
  <c r="R91" i="21"/>
  <c r="O92" i="21"/>
  <c r="Q91" i="21"/>
  <c r="O93" i="21" l="1"/>
  <c r="Q92" i="21"/>
  <c r="P93" i="21"/>
  <c r="R92" i="21"/>
  <c r="P94" i="21" l="1"/>
  <c r="R93" i="21"/>
  <c r="O94" i="21"/>
  <c r="Q93" i="21"/>
  <c r="O95" i="21" l="1"/>
  <c r="Q94" i="21"/>
  <c r="P95" i="21"/>
  <c r="R94" i="21"/>
  <c r="P96" i="21" l="1"/>
  <c r="R95" i="21"/>
  <c r="O96" i="21"/>
  <c r="Q95" i="21"/>
  <c r="O97" i="21" l="1"/>
  <c r="Q96" i="21"/>
  <c r="P97" i="21"/>
  <c r="R96" i="21"/>
  <c r="P98" i="21" l="1"/>
  <c r="R97" i="21"/>
  <c r="O98" i="21"/>
  <c r="Q97" i="21"/>
  <c r="O99" i="21" l="1"/>
  <c r="Q98" i="21"/>
  <c r="P99" i="21"/>
  <c r="R98" i="21"/>
  <c r="P100" i="21" l="1"/>
  <c r="R99" i="21"/>
  <c r="O100" i="21"/>
  <c r="Q99" i="21"/>
  <c r="O101" i="21" l="1"/>
  <c r="Q100" i="21"/>
  <c r="P101" i="21"/>
  <c r="R100" i="21"/>
  <c r="P102" i="21" l="1"/>
  <c r="R101" i="21"/>
  <c r="O102" i="21"/>
  <c r="Q101" i="21"/>
  <c r="O103" i="21" l="1"/>
  <c r="Q102" i="21"/>
  <c r="P103" i="21"/>
  <c r="R102" i="21"/>
  <c r="P104" i="21" l="1"/>
  <c r="R103" i="21"/>
  <c r="O104" i="21"/>
  <c r="Q103" i="21"/>
  <c r="O105" i="21" l="1"/>
  <c r="Q104" i="21"/>
  <c r="P105" i="21"/>
  <c r="R104" i="21"/>
  <c r="P106" i="21" l="1"/>
  <c r="R105" i="21"/>
  <c r="O106" i="21"/>
  <c r="Q105" i="21"/>
  <c r="O107" i="21" l="1"/>
  <c r="Q106" i="21"/>
  <c r="P107" i="21"/>
  <c r="R106" i="21"/>
  <c r="P108" i="21" l="1"/>
  <c r="R107" i="21"/>
  <c r="O108" i="21"/>
  <c r="Q107" i="21"/>
  <c r="O109" i="21" l="1"/>
  <c r="Q108" i="21"/>
  <c r="P109" i="21"/>
  <c r="R108" i="21"/>
  <c r="P110" i="21" l="1"/>
  <c r="R109" i="21"/>
  <c r="O110" i="21"/>
  <c r="Q109" i="21"/>
  <c r="O111" i="21" l="1"/>
  <c r="Q110" i="21"/>
  <c r="P111" i="21"/>
  <c r="R110" i="21"/>
  <c r="P112" i="21" l="1"/>
  <c r="R111" i="21"/>
  <c r="O112" i="21"/>
  <c r="Q111" i="21"/>
  <c r="O113" i="21" l="1"/>
  <c r="Q112" i="21"/>
  <c r="P113" i="21"/>
  <c r="R112" i="21"/>
  <c r="P114" i="21" l="1"/>
  <c r="R113" i="21"/>
  <c r="O114" i="21"/>
  <c r="Q113" i="21"/>
  <c r="O115" i="21" l="1"/>
  <c r="Q114" i="21"/>
  <c r="P115" i="21"/>
  <c r="R114" i="21"/>
  <c r="P116" i="21" l="1"/>
  <c r="R115" i="21"/>
  <c r="O116" i="21"/>
  <c r="Q115" i="21"/>
  <c r="O117" i="21" l="1"/>
  <c r="Q116" i="21"/>
  <c r="P117" i="21"/>
  <c r="R116" i="21"/>
  <c r="P118" i="21" l="1"/>
  <c r="R117" i="21"/>
  <c r="O118" i="21"/>
  <c r="Q117" i="21"/>
  <c r="O119" i="21" l="1"/>
  <c r="Q118" i="21"/>
  <c r="P119" i="21"/>
  <c r="R118" i="21"/>
  <c r="P120" i="21" l="1"/>
  <c r="R119" i="21"/>
  <c r="O120" i="21"/>
  <c r="Q119" i="21"/>
  <c r="O121" i="21" l="1"/>
  <c r="Q120" i="21"/>
  <c r="P121" i="21"/>
  <c r="R120" i="21"/>
  <c r="P122" i="21" l="1"/>
  <c r="R121" i="21"/>
  <c r="O122" i="21"/>
  <c r="Q121" i="21"/>
  <c r="O123" i="21" l="1"/>
  <c r="Q122" i="21"/>
  <c r="P123" i="21"/>
  <c r="R122" i="21"/>
  <c r="P124" i="21" l="1"/>
  <c r="R123" i="21"/>
  <c r="O124" i="21"/>
  <c r="Q123" i="21"/>
  <c r="O125" i="21" l="1"/>
  <c r="Q124" i="21"/>
  <c r="P125" i="21"/>
  <c r="R124" i="21"/>
  <c r="P126" i="21" l="1"/>
  <c r="R125" i="21"/>
  <c r="O126" i="21"/>
  <c r="Q125" i="21"/>
  <c r="O127" i="21" l="1"/>
  <c r="Q126" i="21"/>
  <c r="P127" i="21"/>
  <c r="R126" i="21"/>
  <c r="P128" i="21" l="1"/>
  <c r="R127" i="21"/>
  <c r="O128" i="21"/>
  <c r="Q127" i="21"/>
  <c r="O129" i="21" l="1"/>
  <c r="Q128" i="21"/>
  <c r="P129" i="21"/>
  <c r="R128" i="21"/>
  <c r="P130" i="21" l="1"/>
  <c r="R129" i="21"/>
  <c r="O130" i="21"/>
  <c r="Q129" i="21"/>
  <c r="O131" i="21" l="1"/>
  <c r="Q130" i="21"/>
  <c r="P131" i="21"/>
  <c r="R130" i="21"/>
  <c r="P132" i="21" l="1"/>
  <c r="R131" i="21"/>
  <c r="O132" i="21"/>
  <c r="Q131" i="21"/>
  <c r="O133" i="21" l="1"/>
  <c r="Q132" i="21"/>
  <c r="P133" i="21"/>
  <c r="R132" i="21"/>
  <c r="P134" i="21" l="1"/>
  <c r="R133" i="21"/>
  <c r="O134" i="21"/>
  <c r="Q133" i="21"/>
  <c r="O135" i="21" l="1"/>
  <c r="Q134" i="21"/>
  <c r="P135" i="21"/>
  <c r="R134" i="21"/>
  <c r="P136" i="21" l="1"/>
  <c r="R135" i="21"/>
  <c r="O136" i="21"/>
  <c r="Q135" i="21"/>
  <c r="O137" i="21" l="1"/>
  <c r="Q136" i="21"/>
  <c r="P137" i="21"/>
  <c r="R136" i="21"/>
  <c r="P138" i="21" l="1"/>
  <c r="R137" i="21"/>
  <c r="O138" i="21"/>
  <c r="Q137" i="21"/>
  <c r="O139" i="21" l="1"/>
  <c r="Q138" i="21"/>
  <c r="P139" i="21"/>
  <c r="R138" i="21"/>
  <c r="P140" i="21" l="1"/>
  <c r="R139" i="21"/>
  <c r="O140" i="21"/>
  <c r="Q139" i="21"/>
  <c r="O141" i="21" l="1"/>
  <c r="Q140" i="21"/>
  <c r="P141" i="21"/>
  <c r="R140" i="21"/>
  <c r="P142" i="21" l="1"/>
  <c r="R141" i="21"/>
  <c r="O142" i="21"/>
  <c r="Q141" i="21"/>
  <c r="O143" i="21" l="1"/>
  <c r="Q142" i="21"/>
  <c r="P143" i="21"/>
  <c r="R142" i="21"/>
  <c r="P144" i="21" l="1"/>
  <c r="R143" i="21"/>
  <c r="O144" i="21"/>
  <c r="Q143" i="21"/>
  <c r="O145" i="21" l="1"/>
  <c r="Q144" i="21"/>
  <c r="P145" i="21"/>
  <c r="R144" i="21"/>
  <c r="P146" i="21" l="1"/>
  <c r="R145" i="21"/>
  <c r="O146" i="21"/>
  <c r="Q145" i="21"/>
  <c r="O147" i="21" l="1"/>
  <c r="Q146" i="21"/>
  <c r="P147" i="21"/>
  <c r="R146" i="21"/>
  <c r="P148" i="21" l="1"/>
  <c r="R147" i="21"/>
  <c r="O148" i="21"/>
  <c r="Q147" i="21"/>
  <c r="O149" i="21" l="1"/>
  <c r="Q148" i="21"/>
  <c r="P149" i="21"/>
  <c r="R148" i="21"/>
  <c r="P150" i="21" l="1"/>
  <c r="R149" i="21"/>
  <c r="O150" i="21"/>
  <c r="Q149" i="21"/>
  <c r="O151" i="21" l="1"/>
  <c r="Q150" i="21"/>
  <c r="P151" i="21"/>
  <c r="R150" i="21"/>
  <c r="P152" i="21" l="1"/>
  <c r="R151" i="21"/>
  <c r="O152" i="21"/>
  <c r="Q151" i="21"/>
  <c r="O153" i="21" l="1"/>
  <c r="Q152" i="21"/>
  <c r="P153" i="21"/>
  <c r="R152" i="21"/>
  <c r="P154" i="21" l="1"/>
  <c r="R153" i="21"/>
  <c r="O154" i="21"/>
  <c r="Q153" i="21"/>
  <c r="O155" i="21" l="1"/>
  <c r="Q154" i="21"/>
  <c r="P155" i="21"/>
  <c r="R154" i="21"/>
  <c r="P156" i="21" l="1"/>
  <c r="R155" i="21"/>
  <c r="O156" i="21"/>
  <c r="Q155" i="21"/>
  <c r="O157" i="21" l="1"/>
  <c r="Q156" i="21"/>
  <c r="P157" i="21"/>
  <c r="R156" i="21"/>
  <c r="P158" i="21" l="1"/>
  <c r="R157" i="21"/>
  <c r="O158" i="21"/>
  <c r="Q157" i="21"/>
  <c r="O159" i="21" l="1"/>
  <c r="Q158" i="21"/>
  <c r="P159" i="21"/>
  <c r="R158" i="21"/>
  <c r="P160" i="21" l="1"/>
  <c r="R159" i="21"/>
  <c r="O160" i="21"/>
  <c r="Q159" i="21"/>
  <c r="O161" i="21" l="1"/>
  <c r="Q160" i="21"/>
  <c r="P161" i="21"/>
  <c r="R160" i="21"/>
  <c r="P162" i="21" l="1"/>
  <c r="R161" i="21"/>
  <c r="O162" i="21"/>
  <c r="Q161" i="21"/>
  <c r="O163" i="21" l="1"/>
  <c r="Q162" i="21"/>
  <c r="P163" i="21"/>
  <c r="R162" i="21"/>
  <c r="P164" i="21" l="1"/>
  <c r="R163" i="21"/>
  <c r="O164" i="21"/>
  <c r="Q163" i="21"/>
  <c r="O165" i="21" l="1"/>
  <c r="Q164" i="21"/>
  <c r="P165" i="21"/>
  <c r="R164" i="21"/>
  <c r="P166" i="21" l="1"/>
  <c r="R165" i="21"/>
  <c r="O166" i="21"/>
  <c r="Q165" i="21"/>
  <c r="O167" i="21" l="1"/>
  <c r="Q166" i="21"/>
  <c r="P167" i="21"/>
  <c r="R166" i="21"/>
  <c r="P168" i="21" l="1"/>
  <c r="R167" i="21"/>
  <c r="O168" i="21"/>
  <c r="Q167" i="21"/>
  <c r="O169" i="21" l="1"/>
  <c r="Q168" i="21"/>
  <c r="P169" i="21"/>
  <c r="R168" i="21"/>
  <c r="P170" i="21" l="1"/>
  <c r="R169" i="21"/>
  <c r="O170" i="21"/>
  <c r="Q169" i="21"/>
  <c r="O171" i="21" l="1"/>
  <c r="Q170" i="21"/>
  <c r="P171" i="21"/>
  <c r="R170" i="21"/>
  <c r="P172" i="21" l="1"/>
  <c r="R171" i="21"/>
  <c r="O172" i="21"/>
  <c r="Q171" i="21"/>
  <c r="O173" i="21" l="1"/>
  <c r="Q172" i="21"/>
  <c r="P173" i="21"/>
  <c r="R172" i="21"/>
  <c r="P174" i="21" l="1"/>
  <c r="R173" i="21"/>
  <c r="O174" i="21"/>
  <c r="Q173" i="21"/>
  <c r="O175" i="21" l="1"/>
  <c r="Q174" i="21"/>
  <c r="P175" i="21"/>
  <c r="R174" i="21"/>
  <c r="P176" i="21" l="1"/>
  <c r="R175" i="21"/>
  <c r="O176" i="21"/>
  <c r="Q175" i="21"/>
  <c r="O177" i="21" l="1"/>
  <c r="Q176" i="21"/>
  <c r="P177" i="21"/>
  <c r="R176" i="21"/>
  <c r="P178" i="21" l="1"/>
  <c r="R177" i="21"/>
  <c r="O178" i="21"/>
  <c r="Q177" i="21"/>
  <c r="O179" i="21" l="1"/>
  <c r="Q178" i="21"/>
  <c r="P179" i="21"/>
  <c r="R178" i="21"/>
  <c r="P180" i="21" l="1"/>
  <c r="R179" i="21"/>
  <c r="O180" i="21"/>
  <c r="Q179" i="21"/>
  <c r="O181" i="21" l="1"/>
  <c r="Q180" i="21"/>
  <c r="P181" i="21"/>
  <c r="R180" i="21"/>
  <c r="P182" i="21" l="1"/>
  <c r="R181" i="21"/>
  <c r="O182" i="21"/>
  <c r="Q181" i="21"/>
  <c r="O183" i="21" l="1"/>
  <c r="Q182" i="21"/>
  <c r="P183" i="21"/>
  <c r="R182" i="21"/>
  <c r="P184" i="21" l="1"/>
  <c r="R183" i="21"/>
  <c r="O184" i="21"/>
  <c r="Q183" i="21"/>
  <c r="O185" i="21" l="1"/>
  <c r="Q184" i="21"/>
  <c r="P185" i="21"/>
  <c r="R184" i="21"/>
  <c r="P186" i="21" l="1"/>
  <c r="R185" i="21"/>
  <c r="O186" i="21"/>
  <c r="Q185" i="21"/>
  <c r="O187" i="21" l="1"/>
  <c r="Q186" i="21"/>
  <c r="P187" i="21"/>
  <c r="R186" i="21"/>
  <c r="P188" i="21" l="1"/>
  <c r="R187" i="21"/>
  <c r="O188" i="21"/>
  <c r="Q187" i="21"/>
  <c r="O189" i="21" l="1"/>
  <c r="Q188" i="21"/>
  <c r="P189" i="21"/>
  <c r="R188" i="21"/>
  <c r="P190" i="21" l="1"/>
  <c r="R189" i="21"/>
  <c r="O190" i="21"/>
  <c r="Q189" i="21"/>
  <c r="O191" i="21" l="1"/>
  <c r="Q190" i="21"/>
  <c r="P191" i="21"/>
  <c r="R190" i="21"/>
  <c r="P192" i="21" l="1"/>
  <c r="R191" i="21"/>
  <c r="O192" i="21"/>
  <c r="Q191" i="21"/>
  <c r="O193" i="21" l="1"/>
  <c r="Q192" i="21"/>
  <c r="P193" i="21"/>
  <c r="R192" i="21"/>
  <c r="P194" i="21" l="1"/>
  <c r="R193" i="21"/>
  <c r="O194" i="21"/>
  <c r="Q193" i="21"/>
  <c r="O195" i="21" l="1"/>
  <c r="Q194" i="21"/>
  <c r="P195" i="21"/>
  <c r="R194" i="21"/>
  <c r="P196" i="21" l="1"/>
  <c r="R195" i="21"/>
  <c r="O196" i="21"/>
  <c r="Q195" i="21"/>
  <c r="O197" i="21" l="1"/>
  <c r="Q196" i="21"/>
  <c r="P197" i="21"/>
  <c r="R196" i="21"/>
  <c r="P198" i="21" l="1"/>
  <c r="R197" i="21"/>
  <c r="O198" i="21"/>
  <c r="Q197" i="21"/>
  <c r="O199" i="21" l="1"/>
  <c r="Q198" i="21"/>
  <c r="P199" i="21"/>
  <c r="R198" i="21"/>
  <c r="P200" i="21" l="1"/>
  <c r="R199" i="21"/>
  <c r="O200" i="21"/>
  <c r="Q199" i="21"/>
  <c r="O201" i="21" l="1"/>
  <c r="Q200" i="21"/>
  <c r="P201" i="21"/>
  <c r="R200" i="21"/>
  <c r="P202" i="21" l="1"/>
  <c r="R201" i="21"/>
  <c r="O202" i="21"/>
  <c r="Q201" i="21"/>
  <c r="O203" i="21" l="1"/>
  <c r="Q202" i="21"/>
  <c r="P203" i="21"/>
  <c r="R202" i="21"/>
  <c r="P204" i="21" l="1"/>
  <c r="R203" i="21"/>
  <c r="O204" i="21"/>
  <c r="Q203" i="21"/>
  <c r="O205" i="21" l="1"/>
  <c r="Q204" i="21"/>
  <c r="P205" i="21"/>
  <c r="R204" i="21"/>
  <c r="P206" i="21" l="1"/>
  <c r="R205" i="21"/>
  <c r="O206" i="21"/>
  <c r="Q205" i="21"/>
  <c r="O207" i="21" l="1"/>
  <c r="Q206" i="21"/>
  <c r="P207" i="21"/>
  <c r="R206" i="21"/>
  <c r="P208" i="21" l="1"/>
  <c r="R207" i="21"/>
  <c r="O208" i="21"/>
  <c r="Q207" i="21"/>
  <c r="O209" i="21" l="1"/>
  <c r="Q208" i="21"/>
  <c r="P209" i="21"/>
  <c r="R208" i="21"/>
  <c r="P210" i="21" l="1"/>
  <c r="R209" i="21"/>
  <c r="O210" i="21"/>
  <c r="Q209" i="21"/>
  <c r="O211" i="21" l="1"/>
  <c r="Q210" i="21"/>
  <c r="P211" i="21"/>
  <c r="R210" i="21"/>
  <c r="P212" i="21" l="1"/>
  <c r="R211" i="21"/>
  <c r="O212" i="21"/>
  <c r="Q211" i="21"/>
  <c r="O213" i="21" l="1"/>
  <c r="Q212" i="21"/>
  <c r="P213" i="21"/>
  <c r="R212" i="21"/>
  <c r="P214" i="21" l="1"/>
  <c r="R213" i="21"/>
  <c r="O214" i="21"/>
  <c r="Q213" i="21"/>
  <c r="O215" i="21" l="1"/>
  <c r="Q214" i="21"/>
  <c r="P215" i="21"/>
  <c r="R214" i="21"/>
  <c r="P216" i="21" l="1"/>
  <c r="R215" i="21"/>
  <c r="O216" i="21"/>
  <c r="Q215" i="21"/>
  <c r="O217" i="21" l="1"/>
  <c r="Q216" i="21"/>
  <c r="P217" i="21"/>
  <c r="R216" i="21"/>
  <c r="P218" i="21" l="1"/>
  <c r="R217" i="21"/>
  <c r="O218" i="21"/>
  <c r="Q217" i="21"/>
  <c r="O219" i="21" l="1"/>
  <c r="Q218" i="21"/>
  <c r="P219" i="21"/>
  <c r="R218" i="21"/>
  <c r="P220" i="21" l="1"/>
  <c r="R219" i="21"/>
  <c r="O220" i="21"/>
  <c r="Q219" i="21"/>
  <c r="O221" i="21" l="1"/>
  <c r="Q220" i="21"/>
  <c r="P221" i="21"/>
  <c r="R220" i="21"/>
  <c r="P222" i="21" l="1"/>
  <c r="R221" i="21"/>
  <c r="O222" i="21"/>
  <c r="Q221" i="21"/>
  <c r="O223" i="21" l="1"/>
  <c r="Q222" i="21"/>
  <c r="P223" i="21"/>
  <c r="R222" i="21"/>
  <c r="P224" i="21" l="1"/>
  <c r="R223" i="21"/>
  <c r="O224" i="21"/>
  <c r="Q223" i="21"/>
  <c r="O225" i="21" l="1"/>
  <c r="Q224" i="21"/>
  <c r="P225" i="21"/>
  <c r="R224" i="21"/>
  <c r="P226" i="21" l="1"/>
  <c r="R225" i="21"/>
  <c r="O226" i="21"/>
  <c r="Q225" i="21"/>
  <c r="O227" i="21" l="1"/>
  <c r="Q226" i="21"/>
  <c r="P227" i="21"/>
  <c r="R226" i="21"/>
  <c r="P228" i="21" l="1"/>
  <c r="R227" i="21"/>
  <c r="O228" i="21"/>
  <c r="Q227" i="21"/>
  <c r="O229" i="21" l="1"/>
  <c r="Q228" i="21"/>
  <c r="P229" i="21"/>
  <c r="R228" i="21"/>
  <c r="P230" i="21" l="1"/>
  <c r="R229" i="21"/>
  <c r="O230" i="21"/>
  <c r="Q229" i="21"/>
  <c r="O231" i="21" l="1"/>
  <c r="Q230" i="21"/>
  <c r="P231" i="21"/>
  <c r="R230" i="21"/>
  <c r="P232" i="21" l="1"/>
  <c r="R231" i="21"/>
  <c r="O232" i="21"/>
  <c r="Q231" i="21"/>
  <c r="O233" i="21" l="1"/>
  <c r="Q232" i="21"/>
  <c r="P233" i="21"/>
  <c r="R232" i="21"/>
  <c r="P234" i="21" l="1"/>
  <c r="R233" i="21"/>
  <c r="O234" i="21"/>
  <c r="Q233" i="21"/>
  <c r="O235" i="21" l="1"/>
  <c r="Q234" i="21"/>
  <c r="P235" i="21"/>
  <c r="R234" i="21"/>
  <c r="P236" i="21" l="1"/>
  <c r="R235" i="21"/>
  <c r="O236" i="21"/>
  <c r="Q235" i="21"/>
  <c r="O237" i="21" l="1"/>
  <c r="Q236" i="21"/>
  <c r="P237" i="21"/>
  <c r="R236" i="21"/>
  <c r="P238" i="21" l="1"/>
  <c r="R237" i="21"/>
  <c r="O238" i="21"/>
  <c r="Q237" i="21"/>
  <c r="O239" i="21" l="1"/>
  <c r="Q238" i="21"/>
  <c r="P239" i="21"/>
  <c r="R238" i="21"/>
  <c r="P240" i="21" l="1"/>
  <c r="R239" i="21"/>
  <c r="O240" i="21"/>
  <c r="Q239" i="21"/>
  <c r="O241" i="21" l="1"/>
  <c r="Q240" i="21"/>
  <c r="P241" i="21"/>
  <c r="R240" i="21"/>
  <c r="P242" i="21" l="1"/>
  <c r="R241" i="21"/>
  <c r="O242" i="21"/>
  <c r="Q241" i="21"/>
  <c r="O243" i="21" l="1"/>
  <c r="Q242" i="21"/>
  <c r="P243" i="21"/>
  <c r="R242" i="21"/>
  <c r="P244" i="21" l="1"/>
  <c r="R243" i="21"/>
  <c r="O244" i="21"/>
  <c r="Q243" i="21"/>
  <c r="O245" i="21" l="1"/>
  <c r="Q244" i="21"/>
  <c r="P245" i="21"/>
  <c r="R244" i="21"/>
  <c r="P246" i="21" l="1"/>
  <c r="R245" i="21"/>
  <c r="O246" i="21"/>
  <c r="Q245" i="21"/>
  <c r="O247" i="21" l="1"/>
  <c r="Q246" i="21"/>
  <c r="P247" i="21"/>
  <c r="R246" i="21"/>
  <c r="P248" i="21" l="1"/>
  <c r="R247" i="21"/>
  <c r="O248" i="21"/>
  <c r="Q247" i="21"/>
  <c r="O249" i="21" l="1"/>
  <c r="Q248" i="21"/>
  <c r="P249" i="21"/>
  <c r="R248" i="21"/>
  <c r="P250" i="21" l="1"/>
  <c r="R249" i="21"/>
  <c r="O250" i="21"/>
  <c r="Q249" i="21"/>
  <c r="O251" i="21" l="1"/>
  <c r="Q250" i="21"/>
  <c r="P251" i="21"/>
  <c r="R250" i="21"/>
  <c r="P252" i="21" l="1"/>
  <c r="R251" i="21"/>
  <c r="O252" i="21"/>
  <c r="Q251" i="21"/>
  <c r="O253" i="21" l="1"/>
  <c r="Q252" i="21"/>
  <c r="P253" i="21"/>
  <c r="R252" i="21"/>
  <c r="P254" i="21" l="1"/>
  <c r="R253" i="21"/>
  <c r="O254" i="21"/>
  <c r="Q253" i="21"/>
  <c r="O255" i="21" l="1"/>
  <c r="Q254" i="21"/>
  <c r="P255" i="21"/>
  <c r="R254" i="21"/>
  <c r="P256" i="21" l="1"/>
  <c r="R255" i="21"/>
  <c r="O256" i="21"/>
  <c r="Q255" i="21"/>
  <c r="O257" i="21" l="1"/>
  <c r="Q256" i="21"/>
  <c r="P257" i="21"/>
  <c r="R256" i="21"/>
  <c r="P258" i="21" l="1"/>
  <c r="R257" i="21"/>
  <c r="O258" i="21"/>
  <c r="Q257" i="21"/>
  <c r="O259" i="21" l="1"/>
  <c r="Q258" i="21"/>
  <c r="P259" i="21"/>
  <c r="R258" i="21"/>
  <c r="P260" i="21" l="1"/>
  <c r="R259" i="21"/>
  <c r="O260" i="21"/>
  <c r="Q259" i="21"/>
  <c r="O261" i="21" l="1"/>
  <c r="Q260" i="21"/>
  <c r="P261" i="21"/>
  <c r="R260" i="21"/>
  <c r="P262" i="21" l="1"/>
  <c r="R261" i="21"/>
  <c r="O262" i="21"/>
  <c r="Q261" i="21"/>
  <c r="O263" i="21" l="1"/>
  <c r="Q262" i="21"/>
  <c r="P263" i="21"/>
  <c r="R262" i="21"/>
  <c r="P264" i="21" l="1"/>
  <c r="R263" i="21"/>
  <c r="O264" i="21"/>
  <c r="Q263" i="21"/>
  <c r="O265" i="21" l="1"/>
  <c r="Q264" i="21"/>
  <c r="P265" i="21"/>
  <c r="R264" i="21"/>
  <c r="P266" i="21" l="1"/>
  <c r="R265" i="21"/>
  <c r="O266" i="21"/>
  <c r="Q265" i="21"/>
  <c r="O267" i="21" l="1"/>
  <c r="Q266" i="21"/>
  <c r="P267" i="21"/>
  <c r="R266" i="21"/>
  <c r="P268" i="21" l="1"/>
  <c r="R267" i="21"/>
  <c r="O268" i="21"/>
  <c r="Q267" i="21"/>
  <c r="O269" i="21" l="1"/>
  <c r="Q268" i="21"/>
  <c r="P269" i="21"/>
  <c r="R268" i="21"/>
  <c r="P270" i="21" l="1"/>
  <c r="R269" i="21"/>
  <c r="O270" i="21"/>
  <c r="Q269" i="21"/>
  <c r="O271" i="21" l="1"/>
  <c r="Q270" i="21"/>
  <c r="P271" i="21"/>
  <c r="R270" i="21"/>
  <c r="P272" i="21" l="1"/>
  <c r="R271" i="21"/>
  <c r="O272" i="21"/>
  <c r="Q271" i="21"/>
  <c r="O273" i="21" l="1"/>
  <c r="Q272" i="21"/>
  <c r="P273" i="21"/>
  <c r="R272" i="21"/>
  <c r="P274" i="21" l="1"/>
  <c r="R273" i="21"/>
  <c r="O274" i="21"/>
  <c r="Q273" i="21"/>
  <c r="O275" i="21" l="1"/>
  <c r="Q274" i="21"/>
  <c r="P275" i="21"/>
  <c r="R274" i="21"/>
  <c r="P276" i="21" l="1"/>
  <c r="R275" i="21"/>
  <c r="O276" i="21"/>
  <c r="Q275" i="21"/>
  <c r="O277" i="21" l="1"/>
  <c r="Q276" i="21"/>
  <c r="P277" i="21"/>
  <c r="R276" i="21"/>
  <c r="P278" i="21" l="1"/>
  <c r="R277" i="21"/>
  <c r="O278" i="21"/>
  <c r="Q277" i="21"/>
  <c r="O279" i="21" l="1"/>
  <c r="Q278" i="21"/>
  <c r="P279" i="21"/>
  <c r="R278" i="21"/>
  <c r="P280" i="21" l="1"/>
  <c r="R279" i="21"/>
  <c r="O280" i="21"/>
  <c r="Q279" i="21"/>
  <c r="O281" i="21" l="1"/>
  <c r="Q280" i="21"/>
  <c r="P281" i="21"/>
  <c r="R280" i="21"/>
  <c r="P282" i="21" l="1"/>
  <c r="R281" i="21"/>
  <c r="O282" i="21"/>
  <c r="Q281" i="21"/>
  <c r="O283" i="21" l="1"/>
  <c r="Q282" i="21"/>
  <c r="P283" i="21"/>
  <c r="R282" i="21"/>
  <c r="P284" i="21" l="1"/>
  <c r="R283" i="21"/>
  <c r="O284" i="21"/>
  <c r="Q283" i="21"/>
  <c r="O285" i="21" l="1"/>
  <c r="Q284" i="21"/>
  <c r="P285" i="21"/>
  <c r="R284" i="21"/>
  <c r="P286" i="21" l="1"/>
  <c r="R285" i="21"/>
  <c r="O286" i="21"/>
  <c r="Q285" i="21"/>
  <c r="O287" i="21" l="1"/>
  <c r="Q286" i="21"/>
  <c r="P287" i="21"/>
  <c r="R286" i="21"/>
  <c r="P288" i="21" l="1"/>
  <c r="R287" i="21"/>
  <c r="O288" i="21"/>
  <c r="Q287" i="21"/>
  <c r="O289" i="21" l="1"/>
  <c r="Q288" i="21"/>
  <c r="P289" i="21"/>
  <c r="R288" i="21"/>
  <c r="P290" i="21" l="1"/>
  <c r="R289" i="21"/>
  <c r="O290" i="21"/>
  <c r="Q289" i="21"/>
  <c r="O291" i="21" l="1"/>
  <c r="Q290" i="21"/>
  <c r="P291" i="21"/>
  <c r="R290" i="21"/>
  <c r="P292" i="21" l="1"/>
  <c r="R291" i="21"/>
  <c r="O292" i="21"/>
  <c r="Q291" i="21"/>
  <c r="O293" i="21" l="1"/>
  <c r="Q292" i="21"/>
  <c r="P293" i="21"/>
  <c r="R292" i="21"/>
  <c r="P294" i="21" l="1"/>
  <c r="R293" i="21"/>
  <c r="O294" i="21"/>
  <c r="Q293" i="21"/>
  <c r="O295" i="21" l="1"/>
  <c r="Q294" i="21"/>
  <c r="P295" i="21"/>
  <c r="R294" i="21"/>
  <c r="P296" i="21" l="1"/>
  <c r="R295" i="21"/>
  <c r="O296" i="21"/>
  <c r="Q295" i="21"/>
  <c r="O297" i="21" l="1"/>
  <c r="Q296" i="21"/>
  <c r="P297" i="21"/>
  <c r="R296" i="21"/>
  <c r="P298" i="21" l="1"/>
  <c r="R297" i="21"/>
  <c r="O298" i="21"/>
  <c r="Q297" i="21"/>
  <c r="O299" i="21" l="1"/>
  <c r="Q298" i="21"/>
  <c r="P299" i="21"/>
  <c r="R298" i="21"/>
  <c r="P300" i="21" l="1"/>
  <c r="R300" i="21" s="1"/>
  <c r="R299" i="21"/>
  <c r="O300" i="21"/>
  <c r="M4" i="21" s="1"/>
  <c r="Q299" i="21"/>
  <c r="Q300" i="21" l="1"/>
  <c r="M7" i="21" s="1"/>
  <c r="H10" i="17" l="1" a="1"/>
  <c r="J10" i="17" s="1"/>
  <c r="I12" i="17" l="1"/>
  <c r="I11" i="17"/>
  <c r="I10" i="17"/>
  <c r="H12" i="17"/>
  <c r="H11" i="17"/>
  <c r="H10" i="17"/>
  <c r="J12" i="17"/>
  <c r="J11" i="17"/>
  <c r="H25" i="12"/>
  <c r="H27" i="12" s="1"/>
  <c r="H16" i="12"/>
  <c r="H12" i="12"/>
  <c r="H13" i="12" s="1"/>
  <c r="H14" i="12" s="1"/>
  <c r="H11" i="12"/>
  <c r="J43" i="15"/>
  <c r="J44" i="15" s="1"/>
  <c r="L33" i="15"/>
  <c r="L34" i="15" s="1"/>
  <c r="L35" i="15" s="1"/>
  <c r="L36" i="15" s="1"/>
  <c r="L32" i="15"/>
  <c r="I5" i="12"/>
  <c r="N38" i="15" l="1"/>
  <c r="N39" i="15" s="1"/>
  <c r="J45" i="15" s="1"/>
  <c r="N36" i="15"/>
  <c r="J42" i="15" s="1"/>
  <c r="H15" i="12"/>
  <c r="H17" i="12" s="1"/>
  <c r="H18" i="12" s="1"/>
  <c r="H5" i="12"/>
  <c r="H20" i="12" l="1"/>
  <c r="H26" i="12" s="1"/>
  <c r="H19" i="12"/>
  <c r="H24" i="12" s="1"/>
  <c r="J46" i="15"/>
  <c r="H21" i="12"/>
  <c r="H28" i="12" s="1"/>
  <c r="H31" i="12" s="1"/>
  <c r="H22" i="12"/>
  <c r="H29" i="12" s="1"/>
  <c r="H32" i="12" s="1"/>
  <c r="Q7" i="15" l="1"/>
  <c r="Q8" i="15" s="1"/>
  <c r="Q9" i="15" s="1"/>
  <c r="Q10" i="15" s="1"/>
  <c r="L34" i="14" l="1"/>
  <c r="L25" i="14"/>
  <c r="L40" i="14" s="1"/>
  <c r="L22" i="14"/>
  <c r="L23" i="14" s="1"/>
  <c r="N40" i="14"/>
  <c r="N34" i="14"/>
  <c r="N25" i="14"/>
  <c r="N22" i="14"/>
  <c r="N23" i="14" s="1"/>
  <c r="F25" i="14"/>
  <c r="F40" i="14" s="1"/>
  <c r="F22" i="14"/>
  <c r="F23" i="14" s="1"/>
  <c r="F24" i="14" s="1"/>
  <c r="F34" i="14"/>
  <c r="H40" i="14"/>
  <c r="H34" i="14"/>
  <c r="H25" i="14"/>
  <c r="H22" i="14"/>
  <c r="H23" i="14" s="1"/>
  <c r="L19" i="14"/>
  <c r="F19" i="14"/>
  <c r="J9" i="14"/>
  <c r="D9" i="14"/>
  <c r="B7" i="14"/>
  <c r="B8" i="14" s="1"/>
  <c r="B9" i="14" s="1"/>
  <c r="B10" i="14" s="1"/>
  <c r="H9" i="14" l="1"/>
  <c r="H10" i="14" s="1"/>
  <c r="H17" i="14" s="1"/>
  <c r="N5" i="14"/>
  <c r="N6" i="14" s="1"/>
  <c r="N16" i="14" s="1"/>
  <c r="N9" i="14"/>
  <c r="N10" i="14" s="1"/>
  <c r="N17" i="14" s="1"/>
  <c r="N24" i="14"/>
  <c r="N29" i="14"/>
  <c r="H24" i="14"/>
  <c r="H36" i="14" s="1"/>
  <c r="H37" i="14" s="1"/>
  <c r="H5" i="14"/>
  <c r="H6" i="14" s="1"/>
  <c r="H16" i="14" s="1"/>
  <c r="F7" i="14"/>
  <c r="F8" i="14" s="1"/>
  <c r="F16" i="14" s="1"/>
  <c r="F20" i="14" s="1"/>
  <c r="H12" i="14"/>
  <c r="H13" i="14" s="1"/>
  <c r="H18" i="14" s="1"/>
  <c r="L10" i="14"/>
  <c r="L11" i="14" s="1"/>
  <c r="L17" i="14" s="1"/>
  <c r="F10" i="14"/>
  <c r="F11" i="14" s="1"/>
  <c r="F17" i="14" s="1"/>
  <c r="N12" i="14"/>
  <c r="N13" i="14" s="1"/>
  <c r="N18" i="14" s="1"/>
  <c r="L24" i="14"/>
  <c r="L26" i="14" s="1"/>
  <c r="L27" i="14" s="1"/>
  <c r="L35" i="14" s="1"/>
  <c r="L29" i="14"/>
  <c r="F36" i="14"/>
  <c r="F37" i="14" s="1"/>
  <c r="F29" i="14"/>
  <c r="F26" i="14"/>
  <c r="L7" i="14"/>
  <c r="H30" i="14" l="1"/>
  <c r="L8" i="14"/>
  <c r="L16" i="14" s="1"/>
  <c r="L20" i="14" s="1"/>
  <c r="N31" i="14"/>
  <c r="H29" i="14"/>
  <c r="H31" i="14" s="1"/>
  <c r="H26" i="14"/>
  <c r="N30" i="14"/>
  <c r="N36" i="14"/>
  <c r="N37" i="14" s="1"/>
  <c r="L39" i="14"/>
  <c r="L41" i="14" s="1"/>
  <c r="L36" i="14"/>
  <c r="L37" i="14" s="1"/>
  <c r="L30" i="14"/>
  <c r="L31" i="14" s="1"/>
  <c r="N26" i="14"/>
  <c r="N27" i="14" s="1"/>
  <c r="N35" i="14" s="1"/>
  <c r="N39" i="14" s="1"/>
  <c r="F30" i="14"/>
  <c r="F31" i="14" s="1"/>
  <c r="F27" i="14"/>
  <c r="F35" i="14" s="1"/>
  <c r="C16" i="14"/>
  <c r="H27" i="14" l="1"/>
  <c r="H35" i="14"/>
  <c r="H39" i="14" s="1"/>
  <c r="H41" i="14" s="1"/>
  <c r="N41" i="14"/>
  <c r="F41" i="14"/>
  <c r="F39" i="14"/>
  <c r="G5" i="12" a="1"/>
  <c r="F5" i="12" a="1"/>
  <c r="G6" i="12" l="1"/>
  <c r="G9" i="12"/>
  <c r="G7" i="12"/>
  <c r="G5" i="12"/>
  <c r="G8" i="12"/>
  <c r="F5" i="12"/>
  <c r="F8" i="12"/>
  <c r="F7" i="12"/>
  <c r="F6" i="12"/>
  <c r="F9" i="12"/>
  <c r="G10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" i="4"/>
  <c r="E40" i="6" a="1"/>
  <c r="E44" i="6" a="1"/>
  <c r="E2" i="4" l="1"/>
  <c r="E3" i="4" s="1"/>
  <c r="F41" i="6"/>
  <c r="G42" i="6"/>
  <c r="F42" i="6"/>
  <c r="E40" i="6"/>
  <c r="G40" i="6"/>
  <c r="E41" i="6"/>
  <c r="F40" i="6"/>
  <c r="G41" i="6"/>
  <c r="E42" i="6"/>
  <c r="E44" i="6"/>
  <c r="G46" i="6"/>
  <c r="E46" i="6"/>
  <c r="H45" i="6"/>
  <c r="H44" i="6"/>
  <c r="F44" i="6"/>
  <c r="H46" i="6"/>
  <c r="F46" i="6"/>
  <c r="F45" i="6"/>
  <c r="I44" i="6"/>
  <c r="G44" i="6"/>
  <c r="I46" i="6"/>
  <c r="I45" i="6"/>
  <c r="G45" i="6"/>
  <c r="E45" i="6"/>
  <c r="K37" i="6"/>
  <c r="I37" i="6"/>
  <c r="H37" i="6"/>
  <c r="H36" i="6"/>
  <c r="C31" i="6"/>
  <c r="E31" i="6" s="1"/>
  <c r="J36" i="6" l="1"/>
  <c r="E32" i="6"/>
  <c r="E33" i="6" s="1"/>
  <c r="E3" i="3"/>
  <c r="F2" i="3"/>
  <c r="E2" i="3"/>
</calcChain>
</file>

<file path=xl/sharedStrings.xml><?xml version="1.0" encoding="utf-8"?>
<sst xmlns="http://schemas.openxmlformats.org/spreadsheetml/2006/main" count="410" uniqueCount="257">
  <si>
    <t>Price Trajectory Information</t>
  </si>
  <si>
    <t>Time Horizon</t>
  </si>
  <si>
    <t>Number of Steps</t>
  </si>
  <si>
    <t>Volatility</t>
  </si>
  <si>
    <t>Risk-free Rate</t>
  </si>
  <si>
    <t>Initial Prices</t>
  </si>
  <si>
    <t>Correlations</t>
  </si>
  <si>
    <t>Corr 1,2</t>
  </si>
  <si>
    <t>Corr 2,3</t>
  </si>
  <si>
    <t>Corr 1,3</t>
  </si>
  <si>
    <t>Series Name</t>
  </si>
  <si>
    <t>Option Valutation</t>
  </si>
  <si>
    <t>Option Flavor (EU / US)</t>
  </si>
  <si>
    <t>Valuation Method</t>
  </si>
  <si>
    <t>Binomial</t>
  </si>
  <si>
    <t>Monte Carlo</t>
  </si>
  <si>
    <t>Black-Scholes</t>
  </si>
  <si>
    <t>Underlying Price</t>
  </si>
  <si>
    <t>Risk-Free Rate</t>
  </si>
  <si>
    <t>Dividend Rate</t>
  </si>
  <si>
    <t>x</t>
  </si>
  <si>
    <t>Date</t>
  </si>
  <si>
    <t>Adj Close</t>
  </si>
  <si>
    <t>time is considered in years</t>
  </si>
  <si>
    <t>e^ vol * sqrt time between steps</t>
  </si>
  <si>
    <t>up jump</t>
  </si>
  <si>
    <t>e^ -vol * sqrt time between steps</t>
  </si>
  <si>
    <t>down jump</t>
  </si>
  <si>
    <t>a = e^ [(rf - div_rate) * time_span]</t>
  </si>
  <si>
    <t>We're going to  imagine the stock price can move daily</t>
  </si>
  <si>
    <t>It's ridiculous to have an option expiring in 90 days, but the tree uses 90 day "steps"</t>
  </si>
  <si>
    <t>Alterbatively, we can ignore expiry date for the Option.</t>
  </si>
  <si>
    <t>Or, we can divide the difference between expiry date and today into the number of steps</t>
  </si>
  <si>
    <t>Strike Price</t>
  </si>
  <si>
    <t>1. Asks if you want Price Trajectory or Option Valuation</t>
  </si>
  <si>
    <t>2. runs the form for one of those options</t>
  </si>
  <si>
    <t>a. that form stores value in the control input</t>
  </si>
  <si>
    <t>3. Calls read input</t>
  </si>
  <si>
    <t>a. saves thosr read values</t>
  </si>
  <si>
    <t>4. Use that to call OptionValuation which has  inputs so know which method</t>
  </si>
  <si>
    <t>a. value of option returns is message box (and maybe option form shows again)</t>
  </si>
  <si>
    <t>b. OptVal calle BIN MC or BSM</t>
  </si>
  <si>
    <t>i. those will store the answer in a global var</t>
  </si>
  <si>
    <t>You start in Excel on a page with two buttons "Price Option" and "Correlate Prices"</t>
  </si>
  <si>
    <t>Button will call a marco that initiates its respective form</t>
  </si>
  <si>
    <t>Binomial Model</t>
  </si>
  <si>
    <t>n periods prior to expiration</t>
  </si>
  <si>
    <t>iterator</t>
  </si>
  <si>
    <t>probability of upward movement</t>
  </si>
  <si>
    <t>probability of downward movement</t>
  </si>
  <si>
    <t>value of Euro Call option</t>
  </si>
  <si>
    <t>strike price of the Euro Call option</t>
  </si>
  <si>
    <t>stock price at time 0 (now)</t>
  </si>
  <si>
    <t>price increase proportion ( &gt; 1)</t>
  </si>
  <si>
    <t>price decrease propportion ( &gt; 0, &lt; 1)</t>
  </si>
  <si>
    <t>number of period to evaluate</t>
  </si>
  <si>
    <t>Where is volatility?</t>
  </si>
  <si>
    <t>Risk-free rate for one period</t>
  </si>
  <si>
    <t>C :</t>
  </si>
  <si>
    <r>
      <t>R</t>
    </r>
    <r>
      <rPr>
        <vertAlign val="subscript"/>
        <sz val="18"/>
        <color theme="1"/>
        <rFont val="Calibri"/>
        <family val="2"/>
        <scheme val="minor"/>
      </rPr>
      <t>f</t>
    </r>
    <r>
      <rPr>
        <sz val="16"/>
        <color theme="1"/>
        <rFont val="Calibri"/>
        <family val="2"/>
        <scheme val="minor"/>
      </rPr>
      <t xml:space="preserve"> :</t>
    </r>
  </si>
  <si>
    <t>j :</t>
  </si>
  <si>
    <t>n :</t>
  </si>
  <si>
    <t>p :</t>
  </si>
  <si>
    <t>(1-p) :</t>
  </si>
  <si>
    <t>u :</t>
  </si>
  <si>
    <t>d :</t>
  </si>
  <si>
    <t>S :</t>
  </si>
  <si>
    <t>X :</t>
  </si>
  <si>
    <t xml:space="preserve"> - It's hidden in u and d</t>
  </si>
  <si>
    <t>- Volatility determines u and d</t>
  </si>
  <si>
    <t>- u and d, along with Rf, determine p</t>
  </si>
  <si>
    <t>σ</t>
  </si>
  <si>
    <t>∆t :</t>
  </si>
  <si>
    <t>period based standard deviation</t>
  </si>
  <si>
    <t>length of one period; n/t</t>
  </si>
  <si>
    <t>- when t =1</t>
  </si>
  <si>
    <t>- where n  is # of steps</t>
  </si>
  <si>
    <t>s</t>
  </si>
  <si>
    <t>n</t>
  </si>
  <si>
    <t>u</t>
  </si>
  <si>
    <t>d</t>
  </si>
  <si>
    <t>a =</t>
  </si>
  <si>
    <t>probaility of upward movement</t>
  </si>
  <si>
    <r>
      <t>- depends on R</t>
    </r>
    <r>
      <rPr>
        <vertAlign val="subscript"/>
        <sz val="18"/>
        <color theme="1"/>
        <rFont val="Calibri"/>
        <family val="2"/>
        <scheme val="minor"/>
      </rPr>
      <t>f</t>
    </r>
    <r>
      <rPr>
        <sz val="16"/>
        <color theme="1"/>
        <rFont val="Calibri"/>
        <family val="2"/>
        <scheme val="minor"/>
      </rPr>
      <t xml:space="preserve"> u and d</t>
    </r>
  </si>
  <si>
    <t>Log Returns</t>
  </si>
  <si>
    <t>Std Dev of Log Returns</t>
  </si>
  <si>
    <t>6.976</t>
  </si>
  <si>
    <t>Time to Expiry (Years)</t>
  </si>
  <si>
    <t>Option Type (Call / Put)</t>
  </si>
  <si>
    <t>t</t>
  </si>
  <si>
    <t>|</t>
  </si>
  <si>
    <t>|rf</t>
  </si>
  <si>
    <t>(1/steps)</t>
  </si>
  <si>
    <t>.</t>
  </si>
  <si>
    <t>probability of u</t>
  </si>
  <si>
    <t>probability of d</t>
  </si>
  <si>
    <t>Call</t>
  </si>
  <si>
    <t>Put</t>
  </si>
  <si>
    <t>(Inputs)</t>
  </si>
  <si>
    <t>(Outputs)</t>
  </si>
  <si>
    <t>* Option price</t>
  </si>
  <si>
    <t>S</t>
  </si>
  <si>
    <t>sigma</t>
  </si>
  <si>
    <t>K</t>
  </si>
  <si>
    <t>payoff</t>
  </si>
  <si>
    <t>r</t>
  </si>
  <si>
    <t>Pu</t>
  </si>
  <si>
    <t>Pd</t>
  </si>
  <si>
    <t>call option value</t>
  </si>
  <si>
    <t>STOCK</t>
  </si>
  <si>
    <t>VOLA</t>
  </si>
  <si>
    <t>TIME (YRS)</t>
  </si>
  <si>
    <t>STRIKE</t>
  </si>
  <si>
    <t>RISK-FREE</t>
  </si>
  <si>
    <t>PROB UP</t>
  </si>
  <si>
    <t>PROB DOWN</t>
  </si>
  <si>
    <t>RATIO UP</t>
  </si>
  <si>
    <t>RATIO DOWN</t>
  </si>
  <si>
    <t>Call Tree</t>
  </si>
  <si>
    <t>Step 1</t>
  </si>
  <si>
    <t>Step 2</t>
  </si>
  <si>
    <t>po: u^2</t>
  </si>
  <si>
    <t>po: ud</t>
  </si>
  <si>
    <t>po: d^2</t>
  </si>
  <si>
    <t>sum(po)/ rf disc</t>
  </si>
  <si>
    <t>po: u</t>
  </si>
  <si>
    <t>po: d</t>
  </si>
  <si>
    <t>(1+rf)^1</t>
  </si>
  <si>
    <t>sub v</t>
  </si>
  <si>
    <t>per risk</t>
  </si>
  <si>
    <t>prob up</t>
  </si>
  <si>
    <t>prob down</t>
  </si>
  <si>
    <t>ln num 1</t>
  </si>
  <si>
    <t>ln den 1</t>
  </si>
  <si>
    <t>sub up rat</t>
  </si>
  <si>
    <t>sub down rat</t>
  </si>
  <si>
    <t>ln frac</t>
  </si>
  <si>
    <t>min a</t>
  </si>
  <si>
    <t>n c j</t>
  </si>
  <si>
    <t>bin fac</t>
  </si>
  <si>
    <t>opt walk</t>
  </si>
  <si>
    <t>rel move</t>
  </si>
  <si>
    <t>tot rat</t>
  </si>
  <si>
    <t>total</t>
  </si>
  <si>
    <t>sub tot</t>
  </si>
  <si>
    <t>Put Tree</t>
  </si>
  <si>
    <t>ln</t>
  </si>
  <si>
    <t>(Stock / Strike)</t>
  </si>
  <si>
    <t xml:space="preserve"> +</t>
  </si>
  <si>
    <t>risk-free</t>
  </si>
  <si>
    <t xml:space="preserve"> ----</t>
  </si>
  <si>
    <t>sigma^2</t>
  </si>
  <si>
    <t>Time</t>
  </si>
  <si>
    <t>*</t>
  </si>
  <si>
    <t>d1 =</t>
  </si>
  <si>
    <t>d2 =</t>
  </si>
  <si>
    <t>sqrt( Time )</t>
  </si>
  <si>
    <t>d1 - [ sigma * sqrt(Time) ]</t>
  </si>
  <si>
    <t>ln(s/k)</t>
  </si>
  <si>
    <t>.5*(sigma^2)</t>
  </si>
  <si>
    <t>r + above</t>
  </si>
  <si>
    <t>above * T</t>
  </si>
  <si>
    <t>ln(s/k) + above</t>
  </si>
  <si>
    <t>sigma x sqrt(T)</t>
  </si>
  <si>
    <t>above2 / above</t>
  </si>
  <si>
    <t>d1</t>
  </si>
  <si>
    <t>d2</t>
  </si>
  <si>
    <t>above - above2</t>
  </si>
  <si>
    <t>norm s inv d1</t>
  </si>
  <si>
    <t>norm s inv d2</t>
  </si>
  <si>
    <t>minus d1</t>
  </si>
  <si>
    <t>minus d2</t>
  </si>
  <si>
    <t>norm s inv -d1</t>
  </si>
  <si>
    <t>norm s inv -d2</t>
  </si>
  <si>
    <t>s * nd1</t>
  </si>
  <si>
    <t>exp(-rt)</t>
  </si>
  <si>
    <t>s *n_-d1</t>
  </si>
  <si>
    <t>k * above2</t>
  </si>
  <si>
    <t>discount</t>
  </si>
  <si>
    <t>discount * nd2</t>
  </si>
  <si>
    <t>discount * n_-d2</t>
  </si>
  <si>
    <t>put</t>
  </si>
  <si>
    <t>call</t>
  </si>
  <si>
    <t>a</t>
  </si>
  <si>
    <t>b</t>
  </si>
  <si>
    <t>c</t>
  </si>
  <si>
    <t>Given this correlation matrix</t>
  </si>
  <si>
    <t>The upper triangular L from Cholesky decomposition is</t>
  </si>
  <si>
    <t>X</t>
  </si>
  <si>
    <t>q</t>
  </si>
  <si>
    <t>vol</t>
  </si>
  <si>
    <t>T</t>
  </si>
  <si>
    <t>S*</t>
  </si>
  <si>
    <t>M</t>
  </si>
  <si>
    <t>N</t>
  </si>
  <si>
    <t>q2</t>
  </si>
  <si>
    <t>Nd1</t>
  </si>
  <si>
    <t>A2</t>
  </si>
  <si>
    <t>LHS</t>
  </si>
  <si>
    <t>RHS</t>
  </si>
  <si>
    <t>American_call</t>
  </si>
  <si>
    <t>LHS-RHS</t>
  </si>
  <si>
    <t>European_call</t>
  </si>
  <si>
    <t>S1</t>
  </si>
  <si>
    <t>S2</t>
  </si>
  <si>
    <t>z1</t>
  </si>
  <si>
    <t>z2</t>
  </si>
  <si>
    <t>corr.</t>
  </si>
  <si>
    <t>z1*</t>
  </si>
  <si>
    <t>z2*</t>
  </si>
  <si>
    <t>rho</t>
  </si>
  <si>
    <t>s1</t>
  </si>
  <si>
    <t>s2</t>
  </si>
  <si>
    <t>s1 return</t>
  </si>
  <si>
    <t>s2 return</t>
  </si>
  <si>
    <t>corr z1* z2*</t>
  </si>
  <si>
    <t>corrr s1 s2</t>
  </si>
  <si>
    <t>corr return s1 s2</t>
  </si>
  <si>
    <t>underlying</t>
  </si>
  <si>
    <t>strike</t>
  </si>
  <si>
    <t>rf</t>
  </si>
  <si>
    <t>dividend yield</t>
  </si>
  <si>
    <t>time to maturity</t>
  </si>
  <si>
    <t>volatility</t>
  </si>
  <si>
    <t>cost of carry</t>
  </si>
  <si>
    <r>
      <t>q</t>
    </r>
    <r>
      <rPr>
        <vertAlign val="subscript"/>
        <sz val="14"/>
        <color theme="1"/>
        <rFont val="Calibri"/>
        <family val="2"/>
        <scheme val="minor"/>
      </rPr>
      <t>2</t>
    </r>
  </si>
  <si>
    <t>pick a start value of S*</t>
  </si>
  <si>
    <t>d1(S*)</t>
  </si>
  <si>
    <t>N ~ d1</t>
  </si>
  <si>
    <r>
      <t>A</t>
    </r>
    <r>
      <rPr>
        <vertAlign val="subscript"/>
        <sz val="14"/>
        <color theme="1"/>
        <rFont val="Calibri"/>
        <family val="2"/>
        <scheme val="minor"/>
      </rPr>
      <t>2</t>
    </r>
  </si>
  <si>
    <t>BlackScholes(S_i, X, T)</t>
  </si>
  <si>
    <t>&lt;-- requires BlackScholes that handled dividend yield</t>
  </si>
  <si>
    <t>LHS - RHS</t>
  </si>
  <si>
    <t>sstar</t>
  </si>
  <si>
    <t>star-X</t>
  </si>
  <si>
    <t>bsCall S*,X,T</t>
  </si>
  <si>
    <t>S*  x  1/q2</t>
  </si>
  <si>
    <t>N~[d1(S*)]</t>
  </si>
  <si>
    <t>1- e^ (b-r)T</t>
  </si>
  <si>
    <t>rhs of above</t>
  </si>
  <si>
    <t>Asset A</t>
  </si>
  <si>
    <t>Asset B</t>
  </si>
  <si>
    <t>Asset C</t>
  </si>
  <si>
    <t>For notes and background on the development, please unhide other tabs.</t>
  </si>
  <si>
    <r>
      <rPr>
        <sz val="16"/>
        <color theme="1"/>
        <rFont val="Calibri"/>
        <family val="2"/>
      </rPr>
      <t>←</t>
    </r>
    <r>
      <rPr>
        <sz val="16"/>
        <color theme="1"/>
        <rFont val="Calibri"/>
        <family val="2"/>
        <scheme val="minor"/>
      </rPr>
      <t xml:space="preserve"> Observed Correlation</t>
    </r>
  </si>
  <si>
    <t>corr A,B</t>
  </si>
  <si>
    <t>corr B,C</t>
  </si>
  <si>
    <t>corr C,A</t>
  </si>
  <si>
    <t>← Raw Series</t>
  </si>
  <si>
    <t>ρ Asset A</t>
  </si>
  <si>
    <t>ρ Asset B</t>
  </si>
  <si>
    <t>ρ Asset C</t>
  </si>
  <si>
    <t>← Transformed Series</t>
  </si>
  <si>
    <t>Returns A</t>
  </si>
  <si>
    <t>Returns B</t>
  </si>
  <si>
    <t>Returns C</t>
  </si>
  <si>
    <t>Cholesky Decomposition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</si>
</sst>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%"/>
    <numFmt numFmtId="165" formatCode="0.000"/>
    <numFmt numFmtId="166" formatCode="0.0000"/>
    <numFmt numFmtId="167" formatCode="0.000000"/>
  </numFmts>
  <fonts count="2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venir Book"/>
    </font>
    <font>
      <sz val="12"/>
      <color theme="1"/>
      <name val="Avenir Book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bscript"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Avenir Book"/>
    </font>
    <font>
      <sz val="16"/>
      <color theme="1"/>
      <name val="Avenir Book"/>
    </font>
    <font>
      <sz val="16"/>
      <name val="Avenir Book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6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</borders>
  <cellStyleXfs count="7">
    <xf numFmtId="0" fontId="0" fillId="0" borderId="0"/>
    <xf numFmtId="0" fontId="5" fillId="0" borderId="0"/>
    <xf numFmtId="9" fontId="11" fillId="0" borderId="0" applyFont="0" applyFill="0" applyBorder="0" applyAlignment="0" applyProtection="0"/>
    <xf numFmtId="0" fontId="3" fillId="0" borderId="0"/>
    <xf numFmtId="0" fontId="12" fillId="0" borderId="0"/>
    <xf numFmtId="0" fontId="2" fillId="0" borderId="0"/>
    <xf numFmtId="0" fontId="1" fillId="0" borderId="0"/>
  </cellStyleXfs>
  <cellXfs count="99">
    <xf numFmtId="0" fontId="0" fillId="0" borderId="0" xfId="0"/>
    <xf numFmtId="0" fontId="7" fillId="0" borderId="0" xfId="0" applyFont="1"/>
    <xf numFmtId="0" fontId="6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0" borderId="4" xfId="0" applyFont="1" applyBorder="1"/>
    <xf numFmtId="0" fontId="7" fillId="0" borderId="0" xfId="0" applyFont="1" applyBorder="1"/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6" fillId="3" borderId="1" xfId="0" applyFont="1" applyFill="1" applyBorder="1"/>
    <xf numFmtId="0" fontId="7" fillId="3" borderId="2" xfId="0" applyFont="1" applyFill="1" applyBorder="1"/>
    <xf numFmtId="0" fontId="7" fillId="3" borderId="3" xfId="0" applyFont="1" applyFill="1" applyBorder="1"/>
    <xf numFmtId="0" fontId="5" fillId="0" borderId="0" xfId="1"/>
    <xf numFmtId="14" fontId="5" fillId="0" borderId="0" xfId="1" applyNumberFormat="1"/>
    <xf numFmtId="0" fontId="7" fillId="6" borderId="7" xfId="0" applyFont="1" applyFill="1" applyBorder="1"/>
    <xf numFmtId="0" fontId="7" fillId="6" borderId="8" xfId="0" applyFont="1" applyFill="1" applyBorder="1"/>
    <xf numFmtId="0" fontId="7" fillId="7" borderId="0" xfId="0" applyFont="1" applyFill="1" applyBorder="1"/>
    <xf numFmtId="0" fontId="7" fillId="7" borderId="5" xfId="0" applyFont="1" applyFill="1" applyBorder="1"/>
    <xf numFmtId="0" fontId="7" fillId="7" borderId="7" xfId="0" applyFont="1" applyFill="1" applyBorder="1"/>
    <xf numFmtId="0" fontId="7" fillId="7" borderId="8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8" fillId="0" borderId="0" xfId="0" applyFont="1"/>
    <xf numFmtId="0" fontId="9" fillId="0" borderId="0" xfId="0" applyFont="1"/>
    <xf numFmtId="0" fontId="9" fillId="0" borderId="0" xfId="0" quotePrefix="1" applyFont="1"/>
    <xf numFmtId="0" fontId="0" fillId="0" borderId="0" xfId="0" applyNumberFormat="1"/>
    <xf numFmtId="0" fontId="4" fillId="0" borderId="0" xfId="1" applyFont="1"/>
    <xf numFmtId="0" fontId="4" fillId="4" borderId="0" xfId="1" applyFont="1" applyFill="1"/>
    <xf numFmtId="164" fontId="5" fillId="0" borderId="0" xfId="2" applyNumberFormat="1" applyFont="1"/>
    <xf numFmtId="165" fontId="5" fillId="0" borderId="0" xfId="1" applyNumberFormat="1"/>
    <xf numFmtId="0" fontId="7" fillId="0" borderId="0" xfId="0" applyNumberFormat="1" applyFont="1" applyBorder="1"/>
    <xf numFmtId="0" fontId="6" fillId="0" borderId="0" xfId="0" applyFont="1"/>
    <xf numFmtId="0" fontId="7" fillId="0" borderId="0" xfId="0" applyNumberFormat="1" applyFont="1"/>
    <xf numFmtId="0" fontId="14" fillId="6" borderId="7" xfId="0" applyFont="1" applyFill="1" applyBorder="1"/>
    <xf numFmtId="0" fontId="14" fillId="0" borderId="0" xfId="0" applyFont="1"/>
    <xf numFmtId="0" fontId="14" fillId="6" borderId="8" xfId="0" applyFont="1" applyFill="1" applyBorder="1"/>
    <xf numFmtId="0" fontId="14" fillId="0" borderId="10" xfId="0" applyFont="1" applyBorder="1"/>
    <xf numFmtId="0" fontId="14" fillId="0" borderId="5" xfId="0" applyFont="1" applyBorder="1"/>
    <xf numFmtId="0" fontId="14" fillId="0" borderId="11" xfId="0" applyFont="1" applyBorder="1"/>
    <xf numFmtId="0" fontId="14" fillId="0" borderId="0" xfId="0" applyNumberFormat="1" applyFont="1"/>
    <xf numFmtId="0" fontId="14" fillId="0" borderId="5" xfId="0" applyNumberFormat="1" applyFont="1" applyBorder="1"/>
    <xf numFmtId="0" fontId="14" fillId="0" borderId="12" xfId="0" applyFont="1" applyBorder="1"/>
    <xf numFmtId="0" fontId="14" fillId="0" borderId="8" xfId="0" applyFont="1" applyBorder="1"/>
    <xf numFmtId="0" fontId="14" fillId="0" borderId="0" xfId="0" applyFont="1" applyBorder="1"/>
    <xf numFmtId="0" fontId="14" fillId="0" borderId="0" xfId="0" applyFont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5" fillId="0" borderId="0" xfId="0" applyFont="1" applyFill="1"/>
    <xf numFmtId="0" fontId="2" fillId="0" borderId="0" xfId="5"/>
    <xf numFmtId="2" fontId="2" fillId="0" borderId="0" xfId="5" applyNumberFormat="1"/>
    <xf numFmtId="166" fontId="2" fillId="0" borderId="0" xfId="5" applyNumberFormat="1"/>
    <xf numFmtId="0" fontId="16" fillId="0" borderId="0" xfId="5" applyFont="1"/>
    <xf numFmtId="2" fontId="2" fillId="0" borderId="0" xfId="5" applyNumberFormat="1" applyAlignment="1">
      <alignment horizontal="center"/>
    </xf>
    <xf numFmtId="0" fontId="2" fillId="4" borderId="0" xfId="5" applyFill="1"/>
    <xf numFmtId="0" fontId="16" fillId="2" borderId="0" xfId="5" applyFont="1" applyFill="1"/>
    <xf numFmtId="2" fontId="17" fillId="0" borderId="0" xfId="5" applyNumberFormat="1" applyFont="1"/>
    <xf numFmtId="0" fontId="17" fillId="0" borderId="0" xfId="5" applyFont="1"/>
    <xf numFmtId="2" fontId="18" fillId="0" borderId="0" xfId="5" applyNumberFormat="1" applyFont="1"/>
    <xf numFmtId="0" fontId="18" fillId="0" borderId="0" xfId="5" applyFont="1"/>
    <xf numFmtId="2" fontId="16" fillId="0" borderId="0" xfId="5" applyNumberFormat="1" applyFont="1"/>
    <xf numFmtId="0" fontId="16" fillId="5" borderId="0" xfId="5" applyFont="1" applyFill="1" applyAlignment="1">
      <alignment horizontal="center"/>
    </xf>
    <xf numFmtId="0" fontId="2" fillId="8" borderId="0" xfId="5" applyFill="1"/>
    <xf numFmtId="0" fontId="16" fillId="6" borderId="0" xfId="5" applyFont="1" applyFill="1" applyAlignment="1">
      <alignment horizontal="center"/>
    </xf>
    <xf numFmtId="0" fontId="16" fillId="9" borderId="0" xfId="5" applyFont="1" applyFill="1"/>
    <xf numFmtId="0" fontId="19" fillId="0" borderId="0" xfId="5" applyFont="1"/>
    <xf numFmtId="0" fontId="20" fillId="0" borderId="0" xfId="5" applyFont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Border="1"/>
    <xf numFmtId="0" fontId="0" fillId="0" borderId="3" xfId="0" applyBorder="1"/>
    <xf numFmtId="0" fontId="0" fillId="0" borderId="5" xfId="0" applyFill="1" applyBorder="1"/>
    <xf numFmtId="0" fontId="0" fillId="0" borderId="8" xfId="0" applyBorder="1"/>
    <xf numFmtId="0" fontId="2" fillId="10" borderId="0" xfId="5" applyFill="1"/>
    <xf numFmtId="166" fontId="2" fillId="10" borderId="0" xfId="5" applyNumberFormat="1" applyFill="1"/>
    <xf numFmtId="166" fontId="0" fillId="0" borderId="0" xfId="0" applyNumberFormat="1"/>
    <xf numFmtId="167" fontId="0" fillId="0" borderId="0" xfId="0" applyNumberFormat="1"/>
    <xf numFmtId="0" fontId="7" fillId="11" borderId="0" xfId="0" applyFont="1" applyFill="1" applyBorder="1"/>
    <xf numFmtId="0" fontId="7" fillId="11" borderId="5" xfId="0" applyFont="1" applyFill="1" applyBorder="1"/>
    <xf numFmtId="0" fontId="0" fillId="0" borderId="0" xfId="0" applyAlignment="1">
      <alignment horizontal="center"/>
    </xf>
    <xf numFmtId="0" fontId="1" fillId="0" borderId="0" xfId="6"/>
    <xf numFmtId="0" fontId="1" fillId="0" borderId="0" xfId="6" applyAlignment="1">
      <alignment horizontal="center"/>
    </xf>
    <xf numFmtId="0" fontId="1" fillId="4" borderId="0" xfId="6" applyFill="1"/>
    <xf numFmtId="2" fontId="1" fillId="0" borderId="0" xfId="6" applyNumberFormat="1"/>
    <xf numFmtId="0" fontId="11" fillId="0" borderId="0" xfId="6" applyFont="1"/>
    <xf numFmtId="0" fontId="21" fillId="0" borderId="0" xfId="6" applyFont="1"/>
    <xf numFmtId="0" fontId="0" fillId="0" borderId="0" xfId="6" applyFont="1"/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3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</cellXfs>
  <cellStyles count="7">
    <cellStyle name="Normal" xfId="0" builtinId="0"/>
    <cellStyle name="Normal 2" xfId="1"/>
    <cellStyle name="Normal 3" xfId="3"/>
    <cellStyle name="Normal 4" xfId="4"/>
    <cellStyle name="Normal 5" xfId="5"/>
    <cellStyle name="Normal 6" xfId="6"/>
    <cellStyle name="Percent" xfId="2" builtinId="5"/>
  </cellStyles>
  <dxfs count="0"/>
  <tableStyles count="0" defaultTableStyle="TableStyleMedium9" defaultPivotStyle="PivotStyleMedium7"/>
  <colors>
    <mruColors>
      <color rgb="FFFFDB98"/>
      <color rgb="FFFFDD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'incl monte4'!$B$1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'incl monte4'!$B$2:$B$252</c:f>
              <c:numCache>
                <c:formatCode>General</c:formatCode>
                <c:ptCount val="251"/>
                <c:pt idx="0">
                  <c:v>100</c:v>
                </c:pt>
                <c:pt idx="1">
                  <c:v>101.03267725867526</c:v>
                </c:pt>
                <c:pt idx="2">
                  <c:v>101.42010017509639</c:v>
                </c:pt>
                <c:pt idx="3">
                  <c:v>100.42866214361368</c:v>
                </c:pt>
                <c:pt idx="4">
                  <c:v>96.330640205075611</c:v>
                </c:pt>
                <c:pt idx="5">
                  <c:v>97.981590587362788</c:v>
                </c:pt>
                <c:pt idx="6">
                  <c:v>94.888459423907562</c:v>
                </c:pt>
                <c:pt idx="7">
                  <c:v>96.877222813492438</c:v>
                </c:pt>
                <c:pt idx="8">
                  <c:v>96.288162227649735</c:v>
                </c:pt>
                <c:pt idx="9">
                  <c:v>98.382932147036399</c:v>
                </c:pt>
                <c:pt idx="10">
                  <c:v>101.49555077249906</c:v>
                </c:pt>
                <c:pt idx="11">
                  <c:v>101.61777498218976</c:v>
                </c:pt>
                <c:pt idx="12">
                  <c:v>98.559165038256793</c:v>
                </c:pt>
                <c:pt idx="13">
                  <c:v>98.414374644605985</c:v>
                </c:pt>
                <c:pt idx="14">
                  <c:v>99.001746871134699</c:v>
                </c:pt>
                <c:pt idx="15">
                  <c:v>97.824192701889501</c:v>
                </c:pt>
                <c:pt idx="16">
                  <c:v>99.611842642592308</c:v>
                </c:pt>
                <c:pt idx="17">
                  <c:v>100.04074775059966</c:v>
                </c:pt>
                <c:pt idx="18">
                  <c:v>102.6319964033589</c:v>
                </c:pt>
                <c:pt idx="19">
                  <c:v>103.6328081321201</c:v>
                </c:pt>
                <c:pt idx="20">
                  <c:v>102.27974903624116</c:v>
                </c:pt>
                <c:pt idx="21">
                  <c:v>99.891961247870242</c:v>
                </c:pt>
                <c:pt idx="22">
                  <c:v>100.76396306458034</c:v>
                </c:pt>
                <c:pt idx="23">
                  <c:v>101.12910342932668</c:v>
                </c:pt>
                <c:pt idx="24">
                  <c:v>98.733615270777889</c:v>
                </c:pt>
                <c:pt idx="25">
                  <c:v>97.674291838929818</c:v>
                </c:pt>
                <c:pt idx="26">
                  <c:v>96.686827202177668</c:v>
                </c:pt>
                <c:pt idx="27">
                  <c:v>95.736563682833975</c:v>
                </c:pt>
                <c:pt idx="28">
                  <c:v>99.536141864958807</c:v>
                </c:pt>
                <c:pt idx="29">
                  <c:v>98.433882427515755</c:v>
                </c:pt>
                <c:pt idx="30">
                  <c:v>96.617061205250593</c:v>
                </c:pt>
                <c:pt idx="31">
                  <c:v>96.203097327340231</c:v>
                </c:pt>
                <c:pt idx="32">
                  <c:v>97.235218412330639</c:v>
                </c:pt>
                <c:pt idx="33">
                  <c:v>97.867000712164</c:v>
                </c:pt>
                <c:pt idx="34">
                  <c:v>96.225265201228964</c:v>
                </c:pt>
                <c:pt idx="35">
                  <c:v>93.704245477309712</c:v>
                </c:pt>
                <c:pt idx="36">
                  <c:v>96.073368038102174</c:v>
                </c:pt>
                <c:pt idx="37">
                  <c:v>97.526076483904802</c:v>
                </c:pt>
                <c:pt idx="38">
                  <c:v>96.507573304968133</c:v>
                </c:pt>
                <c:pt idx="39">
                  <c:v>97.127600914206369</c:v>
                </c:pt>
                <c:pt idx="40">
                  <c:v>96.797825568733472</c:v>
                </c:pt>
                <c:pt idx="41">
                  <c:v>97.082294388079717</c:v>
                </c:pt>
                <c:pt idx="42">
                  <c:v>99.629594880279626</c:v>
                </c:pt>
                <c:pt idx="43">
                  <c:v>95.917584945868668</c:v>
                </c:pt>
                <c:pt idx="44">
                  <c:v>98.463678148191462</c:v>
                </c:pt>
                <c:pt idx="45">
                  <c:v>99.332513868160547</c:v>
                </c:pt>
                <c:pt idx="46">
                  <c:v>99.399435226328649</c:v>
                </c:pt>
                <c:pt idx="47">
                  <c:v>98.694878776891301</c:v>
                </c:pt>
                <c:pt idx="48">
                  <c:v>97.554416732558295</c:v>
                </c:pt>
                <c:pt idx="49">
                  <c:v>96.280216749945552</c:v>
                </c:pt>
                <c:pt idx="50">
                  <c:v>93.496890838562862</c:v>
                </c:pt>
                <c:pt idx="51">
                  <c:v>92.888481961041535</c:v>
                </c:pt>
                <c:pt idx="52">
                  <c:v>91.122968273640524</c:v>
                </c:pt>
                <c:pt idx="53">
                  <c:v>90.004800584293776</c:v>
                </c:pt>
                <c:pt idx="54">
                  <c:v>90.187207008762101</c:v>
                </c:pt>
                <c:pt idx="55">
                  <c:v>92.867875256397753</c:v>
                </c:pt>
                <c:pt idx="56">
                  <c:v>92.896624705906078</c:v>
                </c:pt>
                <c:pt idx="57">
                  <c:v>90.737292293416303</c:v>
                </c:pt>
                <c:pt idx="58">
                  <c:v>90.564804566852473</c:v>
                </c:pt>
                <c:pt idx="59">
                  <c:v>90.985579930091831</c:v>
                </c:pt>
                <c:pt idx="60">
                  <c:v>87.466335467727419</c:v>
                </c:pt>
                <c:pt idx="61">
                  <c:v>85.099379729006387</c:v>
                </c:pt>
                <c:pt idx="62">
                  <c:v>84.401203804229311</c:v>
                </c:pt>
                <c:pt idx="63">
                  <c:v>78.994440186725541</c:v>
                </c:pt>
                <c:pt idx="64">
                  <c:v>79.604542608010874</c:v>
                </c:pt>
                <c:pt idx="65">
                  <c:v>81.044797018008623</c:v>
                </c:pt>
                <c:pt idx="66">
                  <c:v>79.718297890329822</c:v>
                </c:pt>
                <c:pt idx="67">
                  <c:v>79.546079296251733</c:v>
                </c:pt>
                <c:pt idx="68">
                  <c:v>77.998530520114983</c:v>
                </c:pt>
                <c:pt idx="69">
                  <c:v>80.201380636384343</c:v>
                </c:pt>
                <c:pt idx="70">
                  <c:v>78.185149834367564</c:v>
                </c:pt>
                <c:pt idx="71">
                  <c:v>77.818813244027098</c:v>
                </c:pt>
                <c:pt idx="72">
                  <c:v>77.791377124975497</c:v>
                </c:pt>
                <c:pt idx="73">
                  <c:v>77.145248462374312</c:v>
                </c:pt>
                <c:pt idx="74">
                  <c:v>77.479797620857823</c:v>
                </c:pt>
                <c:pt idx="75">
                  <c:v>79.655086895003876</c:v>
                </c:pt>
                <c:pt idx="76">
                  <c:v>79.443583775872582</c:v>
                </c:pt>
                <c:pt idx="77">
                  <c:v>81.17999897151175</c:v>
                </c:pt>
                <c:pt idx="78">
                  <c:v>80.256678282106307</c:v>
                </c:pt>
                <c:pt idx="79">
                  <c:v>79.268870702031393</c:v>
                </c:pt>
                <c:pt idx="80">
                  <c:v>76.511542750277968</c:v>
                </c:pt>
                <c:pt idx="81">
                  <c:v>77.693443315339024</c:v>
                </c:pt>
                <c:pt idx="82">
                  <c:v>76.638549985890492</c:v>
                </c:pt>
                <c:pt idx="83">
                  <c:v>75.686220388533371</c:v>
                </c:pt>
                <c:pt idx="84">
                  <c:v>73.290790274506108</c:v>
                </c:pt>
                <c:pt idx="85">
                  <c:v>72.160333819794516</c:v>
                </c:pt>
                <c:pt idx="86">
                  <c:v>72.469150154376976</c:v>
                </c:pt>
                <c:pt idx="87">
                  <c:v>74.506501682645762</c:v>
                </c:pt>
                <c:pt idx="88">
                  <c:v>74.660608987843673</c:v>
                </c:pt>
                <c:pt idx="89">
                  <c:v>75.15023417266994</c:v>
                </c:pt>
                <c:pt idx="90">
                  <c:v>77.697234311273306</c:v>
                </c:pt>
                <c:pt idx="91">
                  <c:v>79.833728057585816</c:v>
                </c:pt>
                <c:pt idx="92">
                  <c:v>79.244541011169176</c:v>
                </c:pt>
                <c:pt idx="93">
                  <c:v>79.170669434873645</c:v>
                </c:pt>
                <c:pt idx="94">
                  <c:v>83.012935568374886</c:v>
                </c:pt>
                <c:pt idx="95">
                  <c:v>80.079131843465674</c:v>
                </c:pt>
                <c:pt idx="96">
                  <c:v>80.262926492275028</c:v>
                </c:pt>
                <c:pt idx="97">
                  <c:v>80.410890022326768</c:v>
                </c:pt>
                <c:pt idx="98">
                  <c:v>81.991186632609754</c:v>
                </c:pt>
                <c:pt idx="99">
                  <c:v>82.690597546309164</c:v>
                </c:pt>
                <c:pt idx="100">
                  <c:v>87.077874530405609</c:v>
                </c:pt>
                <c:pt idx="101">
                  <c:v>87.059785498604384</c:v>
                </c:pt>
                <c:pt idx="102">
                  <c:v>87.909537550345249</c:v>
                </c:pt>
                <c:pt idx="103">
                  <c:v>87.587578374379675</c:v>
                </c:pt>
                <c:pt idx="104">
                  <c:v>89.089786746963668</c:v>
                </c:pt>
                <c:pt idx="105">
                  <c:v>88.783339668929202</c:v>
                </c:pt>
                <c:pt idx="106">
                  <c:v>87.536984786747638</c:v>
                </c:pt>
                <c:pt idx="107">
                  <c:v>87.496401878973899</c:v>
                </c:pt>
                <c:pt idx="108">
                  <c:v>89.527878529571723</c:v>
                </c:pt>
                <c:pt idx="109">
                  <c:v>88.655343441696687</c:v>
                </c:pt>
                <c:pt idx="110">
                  <c:v>86.932910701111311</c:v>
                </c:pt>
                <c:pt idx="111">
                  <c:v>85.688058761102255</c:v>
                </c:pt>
                <c:pt idx="112">
                  <c:v>85.123855851117256</c:v>
                </c:pt>
                <c:pt idx="113">
                  <c:v>85.036548742763642</c:v>
                </c:pt>
                <c:pt idx="114">
                  <c:v>85.814777343576765</c:v>
                </c:pt>
                <c:pt idx="115">
                  <c:v>86.289316921212162</c:v>
                </c:pt>
                <c:pt idx="116">
                  <c:v>84.68959789323975</c:v>
                </c:pt>
                <c:pt idx="117">
                  <c:v>83.364361585754111</c:v>
                </c:pt>
                <c:pt idx="118">
                  <c:v>81.015422965587589</c:v>
                </c:pt>
                <c:pt idx="119">
                  <c:v>82.283596482838732</c:v>
                </c:pt>
                <c:pt idx="120">
                  <c:v>82.142654095990679</c:v>
                </c:pt>
                <c:pt idx="121">
                  <c:v>80.298271804921924</c:v>
                </c:pt>
                <c:pt idx="122">
                  <c:v>77.805164741609417</c:v>
                </c:pt>
                <c:pt idx="123">
                  <c:v>77.929155559335243</c:v>
                </c:pt>
                <c:pt idx="124">
                  <c:v>76.781106334542642</c:v>
                </c:pt>
                <c:pt idx="125">
                  <c:v>77.754725419062567</c:v>
                </c:pt>
                <c:pt idx="126">
                  <c:v>77.379349887930175</c:v>
                </c:pt>
                <c:pt idx="127">
                  <c:v>78.358940454053823</c:v>
                </c:pt>
                <c:pt idx="128">
                  <c:v>78.873612047131871</c:v>
                </c:pt>
                <c:pt idx="129">
                  <c:v>75.718881022485363</c:v>
                </c:pt>
                <c:pt idx="130">
                  <c:v>75.364619689690855</c:v>
                </c:pt>
                <c:pt idx="131">
                  <c:v>78.548940467427357</c:v>
                </c:pt>
                <c:pt idx="132">
                  <c:v>79.31914410204935</c:v>
                </c:pt>
                <c:pt idx="133">
                  <c:v>80.269157500731424</c:v>
                </c:pt>
                <c:pt idx="134">
                  <c:v>79.712846868569613</c:v>
                </c:pt>
                <c:pt idx="135">
                  <c:v>82.168285371840952</c:v>
                </c:pt>
                <c:pt idx="136">
                  <c:v>82.755740652262972</c:v>
                </c:pt>
                <c:pt idx="137">
                  <c:v>80.807460871368278</c:v>
                </c:pt>
                <c:pt idx="138">
                  <c:v>78.659715855578639</c:v>
                </c:pt>
                <c:pt idx="139">
                  <c:v>81.305098686850485</c:v>
                </c:pt>
                <c:pt idx="140">
                  <c:v>81.284982091509846</c:v>
                </c:pt>
                <c:pt idx="141">
                  <c:v>80.093007080736683</c:v>
                </c:pt>
                <c:pt idx="142">
                  <c:v>79.694235088349814</c:v>
                </c:pt>
                <c:pt idx="143">
                  <c:v>79.708608039563359</c:v>
                </c:pt>
                <c:pt idx="144">
                  <c:v>79.77566660393471</c:v>
                </c:pt>
                <c:pt idx="145">
                  <c:v>79.996494161959049</c:v>
                </c:pt>
                <c:pt idx="146">
                  <c:v>80.615174144739427</c:v>
                </c:pt>
                <c:pt idx="147">
                  <c:v>81.391951079555895</c:v>
                </c:pt>
                <c:pt idx="148">
                  <c:v>82.472103803428354</c:v>
                </c:pt>
                <c:pt idx="149">
                  <c:v>82.462264990514726</c:v>
                </c:pt>
                <c:pt idx="150">
                  <c:v>81.283887109599178</c:v>
                </c:pt>
                <c:pt idx="151">
                  <c:v>82.50909098179207</c:v>
                </c:pt>
                <c:pt idx="152">
                  <c:v>82.581493710147413</c:v>
                </c:pt>
                <c:pt idx="153">
                  <c:v>83.916284727068046</c:v>
                </c:pt>
                <c:pt idx="154">
                  <c:v>87.035554223191298</c:v>
                </c:pt>
                <c:pt idx="155">
                  <c:v>87.789075613165025</c:v>
                </c:pt>
                <c:pt idx="156">
                  <c:v>89.734511248629758</c:v>
                </c:pt>
                <c:pt idx="157">
                  <c:v>87.78331310388468</c:v>
                </c:pt>
                <c:pt idx="158">
                  <c:v>89.181858242285841</c:v>
                </c:pt>
                <c:pt idx="159">
                  <c:v>88.762962551052922</c:v>
                </c:pt>
                <c:pt idx="160">
                  <c:v>87.15751567162485</c:v>
                </c:pt>
                <c:pt idx="161">
                  <c:v>87.199564456664433</c:v>
                </c:pt>
                <c:pt idx="162">
                  <c:v>85.161754931327451</c:v>
                </c:pt>
                <c:pt idx="163">
                  <c:v>85.757922547138008</c:v>
                </c:pt>
                <c:pt idx="164">
                  <c:v>85.751355059393944</c:v>
                </c:pt>
                <c:pt idx="165">
                  <c:v>87.832031520637571</c:v>
                </c:pt>
                <c:pt idx="166">
                  <c:v>87.074186162422549</c:v>
                </c:pt>
                <c:pt idx="167">
                  <c:v>85.798425893603678</c:v>
                </c:pt>
                <c:pt idx="168">
                  <c:v>84.637375970537548</c:v>
                </c:pt>
                <c:pt idx="169">
                  <c:v>85.090643105562393</c:v>
                </c:pt>
                <c:pt idx="170">
                  <c:v>84.640488006508363</c:v>
                </c:pt>
                <c:pt idx="171">
                  <c:v>84.991569462450457</c:v>
                </c:pt>
                <c:pt idx="172">
                  <c:v>85.062815755324749</c:v>
                </c:pt>
                <c:pt idx="173">
                  <c:v>86.890059656772479</c:v>
                </c:pt>
                <c:pt idx="174">
                  <c:v>85.835285490556828</c:v>
                </c:pt>
                <c:pt idx="175">
                  <c:v>85.198439164887589</c:v>
                </c:pt>
                <c:pt idx="176">
                  <c:v>86.258366417397653</c:v>
                </c:pt>
                <c:pt idx="177">
                  <c:v>85.304636576527585</c:v>
                </c:pt>
                <c:pt idx="178">
                  <c:v>84.917518743504246</c:v>
                </c:pt>
                <c:pt idx="179">
                  <c:v>85.97111647489281</c:v>
                </c:pt>
                <c:pt idx="180">
                  <c:v>83.68935561712064</c:v>
                </c:pt>
                <c:pt idx="181">
                  <c:v>83.035937289732743</c:v>
                </c:pt>
                <c:pt idx="182">
                  <c:v>82.270142652883621</c:v>
                </c:pt>
                <c:pt idx="183">
                  <c:v>80.681207244935152</c:v>
                </c:pt>
                <c:pt idx="184">
                  <c:v>83.341278444203098</c:v>
                </c:pt>
                <c:pt idx="185">
                  <c:v>85.837770593926464</c:v>
                </c:pt>
                <c:pt idx="186">
                  <c:v>89.414898067448334</c:v>
                </c:pt>
                <c:pt idx="187">
                  <c:v>89.842496090104106</c:v>
                </c:pt>
                <c:pt idx="188">
                  <c:v>90.166667937120891</c:v>
                </c:pt>
                <c:pt idx="189">
                  <c:v>92.037057466585509</c:v>
                </c:pt>
                <c:pt idx="190">
                  <c:v>91.770453210146741</c:v>
                </c:pt>
                <c:pt idx="191">
                  <c:v>90.581829702029481</c:v>
                </c:pt>
                <c:pt idx="192">
                  <c:v>90.137043638023414</c:v>
                </c:pt>
                <c:pt idx="193">
                  <c:v>89.098679745994247</c:v>
                </c:pt>
                <c:pt idx="194">
                  <c:v>87.745793429811286</c:v>
                </c:pt>
                <c:pt idx="195">
                  <c:v>89.863808903964099</c:v>
                </c:pt>
                <c:pt idx="196">
                  <c:v>90.536051467455394</c:v>
                </c:pt>
                <c:pt idx="197">
                  <c:v>89.286390272945511</c:v>
                </c:pt>
                <c:pt idx="198">
                  <c:v>91.033388295938522</c:v>
                </c:pt>
                <c:pt idx="199">
                  <c:v>91.000603247889373</c:v>
                </c:pt>
                <c:pt idx="200">
                  <c:v>92.69926019967447</c:v>
                </c:pt>
                <c:pt idx="201">
                  <c:v>91.204768159660148</c:v>
                </c:pt>
                <c:pt idx="202">
                  <c:v>90.827987207405158</c:v>
                </c:pt>
                <c:pt idx="203">
                  <c:v>91.357023160927312</c:v>
                </c:pt>
                <c:pt idx="204">
                  <c:v>89.94209103891022</c:v>
                </c:pt>
                <c:pt idx="205">
                  <c:v>89.962967049434724</c:v>
                </c:pt>
                <c:pt idx="206">
                  <c:v>94.124939260932763</c:v>
                </c:pt>
                <c:pt idx="207">
                  <c:v>89.510416118526905</c:v>
                </c:pt>
                <c:pt idx="208">
                  <c:v>88.570964674669057</c:v>
                </c:pt>
                <c:pt idx="209">
                  <c:v>90.669902501163307</c:v>
                </c:pt>
                <c:pt idx="210">
                  <c:v>89.090373987757658</c:v>
                </c:pt>
                <c:pt idx="211">
                  <c:v>85.262796261583148</c:v>
                </c:pt>
                <c:pt idx="212">
                  <c:v>84.760768380807463</c:v>
                </c:pt>
                <c:pt idx="213">
                  <c:v>88.114574856634562</c:v>
                </c:pt>
                <c:pt idx="214">
                  <c:v>88.460982943284165</c:v>
                </c:pt>
                <c:pt idx="215">
                  <c:v>86.704446726672174</c:v>
                </c:pt>
                <c:pt idx="216">
                  <c:v>83.624661944866261</c:v>
                </c:pt>
                <c:pt idx="217">
                  <c:v>84.879022684678333</c:v>
                </c:pt>
                <c:pt idx="218">
                  <c:v>84.187040688007116</c:v>
                </c:pt>
                <c:pt idx="219">
                  <c:v>84.410396432361054</c:v>
                </c:pt>
                <c:pt idx="220">
                  <c:v>84.670484129565651</c:v>
                </c:pt>
                <c:pt idx="221">
                  <c:v>83.373235199792617</c:v>
                </c:pt>
                <c:pt idx="222">
                  <c:v>83.668616137375608</c:v>
                </c:pt>
                <c:pt idx="223">
                  <c:v>83.782794764279856</c:v>
                </c:pt>
                <c:pt idx="224">
                  <c:v>84.077567872248238</c:v>
                </c:pt>
                <c:pt idx="225">
                  <c:v>84.270262885687416</c:v>
                </c:pt>
                <c:pt idx="226">
                  <c:v>87.1710632141003</c:v>
                </c:pt>
                <c:pt idx="227">
                  <c:v>91.296281209980265</c:v>
                </c:pt>
                <c:pt idx="228">
                  <c:v>90.90178674998802</c:v>
                </c:pt>
                <c:pt idx="229">
                  <c:v>94.96816773175135</c:v>
                </c:pt>
                <c:pt idx="230">
                  <c:v>93.297299519451158</c:v>
                </c:pt>
                <c:pt idx="231">
                  <c:v>89.620182164943088</c:v>
                </c:pt>
                <c:pt idx="232">
                  <c:v>90.481545689732627</c:v>
                </c:pt>
                <c:pt idx="233">
                  <c:v>88.399629091384043</c:v>
                </c:pt>
                <c:pt idx="234">
                  <c:v>87.972630325667012</c:v>
                </c:pt>
                <c:pt idx="235">
                  <c:v>87.155056853040961</c:v>
                </c:pt>
                <c:pt idx="236">
                  <c:v>88.608006432348205</c:v>
                </c:pt>
                <c:pt idx="237">
                  <c:v>88.079276745751926</c:v>
                </c:pt>
                <c:pt idx="238">
                  <c:v>89.768797366842236</c:v>
                </c:pt>
                <c:pt idx="239">
                  <c:v>90.792262569179826</c:v>
                </c:pt>
                <c:pt idx="240">
                  <c:v>90.386951472255717</c:v>
                </c:pt>
                <c:pt idx="241">
                  <c:v>91.031399253504873</c:v>
                </c:pt>
                <c:pt idx="242">
                  <c:v>89.728208256965942</c:v>
                </c:pt>
                <c:pt idx="243">
                  <c:v>90.877756096192101</c:v>
                </c:pt>
                <c:pt idx="244">
                  <c:v>93.161227163256868</c:v>
                </c:pt>
                <c:pt idx="245">
                  <c:v>93.93185792022031</c:v>
                </c:pt>
                <c:pt idx="246">
                  <c:v>92.907905082560418</c:v>
                </c:pt>
                <c:pt idx="247">
                  <c:v>89.126341783798381</c:v>
                </c:pt>
                <c:pt idx="248">
                  <c:v>92.831323082015587</c:v>
                </c:pt>
                <c:pt idx="249">
                  <c:v>93.193448464511235</c:v>
                </c:pt>
                <c:pt idx="250">
                  <c:v>92.107618255820299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52-4049-9848-EDD6BAC9BF6F}"/>
            </c:ext>
          </c:extLst>
        </c:ser>
        <c:ser>
          <c:idx val="1"/>
          <c:order val="1"/>
          <c:tx>
            <c:strRef>
              <c:f>'incl monte4'!$C$1</c:f>
              <c:strCache>
                <c:ptCount val="1"/>
                <c:pt idx="0">
                  <c:v>S2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'incl monte4'!$C$2:$C$252</c:f>
              <c:numCache>
                <c:formatCode>General</c:formatCode>
                <c:ptCount val="251"/>
                <c:pt idx="0">
                  <c:v>80</c:v>
                </c:pt>
                <c:pt idx="1">
                  <c:v>80.799339517611614</c:v>
                </c:pt>
                <c:pt idx="2">
                  <c:v>80.707221230135744</c:v>
                </c:pt>
                <c:pt idx="3">
                  <c:v>80.497747982472134</c:v>
                </c:pt>
                <c:pt idx="4">
                  <c:v>77.991263750135886</c:v>
                </c:pt>
                <c:pt idx="5">
                  <c:v>79.554806136619561</c:v>
                </c:pt>
                <c:pt idx="6">
                  <c:v>77.152362601898048</c:v>
                </c:pt>
                <c:pt idx="7">
                  <c:v>79.133440186209526</c:v>
                </c:pt>
                <c:pt idx="8">
                  <c:v>79.863475196007755</c:v>
                </c:pt>
                <c:pt idx="9">
                  <c:v>80.363796234507461</c:v>
                </c:pt>
                <c:pt idx="10">
                  <c:v>82.411311737899368</c:v>
                </c:pt>
                <c:pt idx="11">
                  <c:v>82.999953531902648</c:v>
                </c:pt>
                <c:pt idx="12">
                  <c:v>80.904624105219511</c:v>
                </c:pt>
                <c:pt idx="13">
                  <c:v>80.444630578436232</c:v>
                </c:pt>
                <c:pt idx="14">
                  <c:v>81.130977589934673</c:v>
                </c:pt>
                <c:pt idx="15">
                  <c:v>79.874872050789762</c:v>
                </c:pt>
                <c:pt idx="16">
                  <c:v>81.816443067060348</c:v>
                </c:pt>
                <c:pt idx="17">
                  <c:v>83.641621587952201</c:v>
                </c:pt>
                <c:pt idx="18">
                  <c:v>85.060429233811277</c:v>
                </c:pt>
                <c:pt idx="19">
                  <c:v>87.276712331175275</c:v>
                </c:pt>
                <c:pt idx="20">
                  <c:v>86.311314871968406</c:v>
                </c:pt>
                <c:pt idx="21">
                  <c:v>86.794851353687079</c:v>
                </c:pt>
                <c:pt idx="22">
                  <c:v>85.933595388548454</c:v>
                </c:pt>
                <c:pt idx="23">
                  <c:v>85.305231563659362</c:v>
                </c:pt>
                <c:pt idx="24">
                  <c:v>84.064992181682157</c:v>
                </c:pt>
                <c:pt idx="25">
                  <c:v>82.098397331953095</c:v>
                </c:pt>
                <c:pt idx="26">
                  <c:v>81.149455072632591</c:v>
                </c:pt>
                <c:pt idx="27">
                  <c:v>81.523859486157278</c:v>
                </c:pt>
                <c:pt idx="28">
                  <c:v>84.256045179939846</c:v>
                </c:pt>
                <c:pt idx="29">
                  <c:v>82.733993121876225</c:v>
                </c:pt>
                <c:pt idx="30">
                  <c:v>81.612014884193471</c:v>
                </c:pt>
                <c:pt idx="31">
                  <c:v>81.149327237343627</c:v>
                </c:pt>
                <c:pt idx="32">
                  <c:v>81.62798616727207</c:v>
                </c:pt>
                <c:pt idx="33">
                  <c:v>81.553830115421491</c:v>
                </c:pt>
                <c:pt idx="34">
                  <c:v>80.461632197858236</c:v>
                </c:pt>
                <c:pt idx="35">
                  <c:v>78.493508959395442</c:v>
                </c:pt>
                <c:pt idx="36">
                  <c:v>79.854307465491146</c:v>
                </c:pt>
                <c:pt idx="37">
                  <c:v>80.734209195048237</c:v>
                </c:pt>
                <c:pt idx="38">
                  <c:v>80.90712623396692</c:v>
                </c:pt>
                <c:pt idx="39">
                  <c:v>81.594395096235019</c:v>
                </c:pt>
                <c:pt idx="40">
                  <c:v>80.479817579934064</c:v>
                </c:pt>
                <c:pt idx="41">
                  <c:v>81.032949310705263</c:v>
                </c:pt>
                <c:pt idx="42">
                  <c:v>83.614614819095522</c:v>
                </c:pt>
                <c:pt idx="43">
                  <c:v>80.878503469963405</c:v>
                </c:pt>
                <c:pt idx="44">
                  <c:v>82.688078454527442</c:v>
                </c:pt>
                <c:pt idx="45">
                  <c:v>83.348866167083543</c:v>
                </c:pt>
                <c:pt idx="46">
                  <c:v>83.335495880214623</c:v>
                </c:pt>
                <c:pt idx="47">
                  <c:v>82.639070536279533</c:v>
                </c:pt>
                <c:pt idx="48">
                  <c:v>80.709018888668638</c:v>
                </c:pt>
                <c:pt idx="49">
                  <c:v>81.113586469104888</c:v>
                </c:pt>
                <c:pt idx="50">
                  <c:v>78.81847743297844</c:v>
                </c:pt>
                <c:pt idx="51">
                  <c:v>78.340465189236795</c:v>
                </c:pt>
                <c:pt idx="52">
                  <c:v>76.958447637060161</c:v>
                </c:pt>
                <c:pt idx="53">
                  <c:v>76.315242076012368</c:v>
                </c:pt>
                <c:pt idx="54">
                  <c:v>75.818744790406086</c:v>
                </c:pt>
                <c:pt idx="55">
                  <c:v>78.100479995909808</c:v>
                </c:pt>
                <c:pt idx="56">
                  <c:v>77.942926587016728</c:v>
                </c:pt>
                <c:pt idx="57">
                  <c:v>76.808123602416686</c:v>
                </c:pt>
                <c:pt idx="58">
                  <c:v>77.1132103627926</c:v>
                </c:pt>
                <c:pt idx="59">
                  <c:v>78.056231539973936</c:v>
                </c:pt>
                <c:pt idx="60">
                  <c:v>74.833845495397853</c:v>
                </c:pt>
                <c:pt idx="61">
                  <c:v>72.257381141111821</c:v>
                </c:pt>
                <c:pt idx="62">
                  <c:v>71.053827794508493</c:v>
                </c:pt>
                <c:pt idx="63">
                  <c:v>66.995122176019322</c:v>
                </c:pt>
                <c:pt idx="64">
                  <c:v>67.522470533402</c:v>
                </c:pt>
                <c:pt idx="65">
                  <c:v>67.835395018688814</c:v>
                </c:pt>
                <c:pt idx="66">
                  <c:v>67.092780792905472</c:v>
                </c:pt>
                <c:pt idx="67">
                  <c:v>66.759828466675202</c:v>
                </c:pt>
                <c:pt idx="68">
                  <c:v>65.881892128667204</c:v>
                </c:pt>
                <c:pt idx="69">
                  <c:v>67.596636541279381</c:v>
                </c:pt>
                <c:pt idx="70">
                  <c:v>66.448452525082971</c:v>
                </c:pt>
                <c:pt idx="71">
                  <c:v>66.115952107537808</c:v>
                </c:pt>
                <c:pt idx="72">
                  <c:v>65.651268359563431</c:v>
                </c:pt>
                <c:pt idx="73">
                  <c:v>64.459317384425844</c:v>
                </c:pt>
                <c:pt idx="74">
                  <c:v>64.202060703382983</c:v>
                </c:pt>
                <c:pt idx="75">
                  <c:v>65.121830327655147</c:v>
                </c:pt>
                <c:pt idx="76">
                  <c:v>64.642637736251388</c:v>
                </c:pt>
                <c:pt idx="77">
                  <c:v>66.282906380193253</c:v>
                </c:pt>
                <c:pt idx="78">
                  <c:v>65.848769988641678</c:v>
                </c:pt>
                <c:pt idx="79">
                  <c:v>64.400592292167104</c:v>
                </c:pt>
                <c:pt idx="80">
                  <c:v>62.144107577295486</c:v>
                </c:pt>
                <c:pt idx="81">
                  <c:v>62.730762467712431</c:v>
                </c:pt>
                <c:pt idx="82">
                  <c:v>61.938714998315028</c:v>
                </c:pt>
                <c:pt idx="83">
                  <c:v>61.037973000921937</c:v>
                </c:pt>
                <c:pt idx="84">
                  <c:v>59.275065501450506</c:v>
                </c:pt>
                <c:pt idx="85">
                  <c:v>58.986335626657613</c:v>
                </c:pt>
                <c:pt idx="86">
                  <c:v>59.552481458873906</c:v>
                </c:pt>
                <c:pt idx="87">
                  <c:v>60.836978053656637</c:v>
                </c:pt>
                <c:pt idx="88">
                  <c:v>60.248471308645314</c:v>
                </c:pt>
                <c:pt idx="89">
                  <c:v>60.490179355159228</c:v>
                </c:pt>
                <c:pt idx="90">
                  <c:v>61.715607829805158</c:v>
                </c:pt>
                <c:pt idx="91">
                  <c:v>63.401254046440265</c:v>
                </c:pt>
                <c:pt idx="92">
                  <c:v>62.440887039689699</c:v>
                </c:pt>
                <c:pt idx="93">
                  <c:v>61.990431709168988</c:v>
                </c:pt>
                <c:pt idx="94">
                  <c:v>64.092940343556492</c:v>
                </c:pt>
                <c:pt idx="95">
                  <c:v>61.846980167899069</c:v>
                </c:pt>
                <c:pt idx="96">
                  <c:v>62.709679374312273</c:v>
                </c:pt>
                <c:pt idx="97">
                  <c:v>62.690963237904121</c:v>
                </c:pt>
                <c:pt idx="98">
                  <c:v>64.296429681329442</c:v>
                </c:pt>
                <c:pt idx="99">
                  <c:v>65.106072008112946</c:v>
                </c:pt>
                <c:pt idx="100">
                  <c:v>67.974417788680185</c:v>
                </c:pt>
                <c:pt idx="101">
                  <c:v>67.838347700957925</c:v>
                </c:pt>
                <c:pt idx="102">
                  <c:v>67.916046479357902</c:v>
                </c:pt>
                <c:pt idx="103">
                  <c:v>67.753016380891424</c:v>
                </c:pt>
                <c:pt idx="104">
                  <c:v>68.856567531375248</c:v>
                </c:pt>
                <c:pt idx="105">
                  <c:v>68.656409980977017</c:v>
                </c:pt>
                <c:pt idx="106">
                  <c:v>67.958787177630825</c:v>
                </c:pt>
                <c:pt idx="107">
                  <c:v>68.195128722606739</c:v>
                </c:pt>
                <c:pt idx="108">
                  <c:v>69.428608581278155</c:v>
                </c:pt>
                <c:pt idx="109">
                  <c:v>68.509950744198704</c:v>
                </c:pt>
                <c:pt idx="110">
                  <c:v>67.352642212665728</c:v>
                </c:pt>
                <c:pt idx="111">
                  <c:v>66.60162263845649</c:v>
                </c:pt>
                <c:pt idx="112">
                  <c:v>66.842462874664847</c:v>
                </c:pt>
                <c:pt idx="113">
                  <c:v>66.29905868428763</c:v>
                </c:pt>
                <c:pt idx="114">
                  <c:v>67.214433630221393</c:v>
                </c:pt>
                <c:pt idx="115">
                  <c:v>67.985837157837111</c:v>
                </c:pt>
                <c:pt idx="116">
                  <c:v>67.333160733131862</c:v>
                </c:pt>
                <c:pt idx="117">
                  <c:v>67.332166504773198</c:v>
                </c:pt>
                <c:pt idx="118">
                  <c:v>64.79075135132716</c:v>
                </c:pt>
                <c:pt idx="119">
                  <c:v>65.536604221577861</c:v>
                </c:pt>
                <c:pt idx="120">
                  <c:v>64.801670917995594</c:v>
                </c:pt>
                <c:pt idx="121">
                  <c:v>62.99945677018372</c:v>
                </c:pt>
                <c:pt idx="122">
                  <c:v>61.524495921325993</c:v>
                </c:pt>
                <c:pt idx="123">
                  <c:v>61.69113583366272</c:v>
                </c:pt>
                <c:pt idx="124">
                  <c:v>60.832298496258822</c:v>
                </c:pt>
                <c:pt idx="125">
                  <c:v>61.874128687188076</c:v>
                </c:pt>
                <c:pt idx="126">
                  <c:v>62.27097326383192</c:v>
                </c:pt>
                <c:pt idx="127">
                  <c:v>62.281042540341794</c:v>
                </c:pt>
                <c:pt idx="128">
                  <c:v>62.94121162270639</c:v>
                </c:pt>
                <c:pt idx="129">
                  <c:v>60.58402734707068</c:v>
                </c:pt>
                <c:pt idx="130">
                  <c:v>60.031907712365879</c:v>
                </c:pt>
                <c:pt idx="131">
                  <c:v>62.75015643539556</c:v>
                </c:pt>
                <c:pt idx="132">
                  <c:v>63.194948643436376</c:v>
                </c:pt>
                <c:pt idx="133">
                  <c:v>63.564276971116435</c:v>
                </c:pt>
                <c:pt idx="134">
                  <c:v>63.080295920975395</c:v>
                </c:pt>
                <c:pt idx="135">
                  <c:v>64.203734435814155</c:v>
                </c:pt>
                <c:pt idx="136">
                  <c:v>64.408122228437264</c:v>
                </c:pt>
                <c:pt idx="137">
                  <c:v>62.577032147800999</c:v>
                </c:pt>
                <c:pt idx="138">
                  <c:v>60.992771740272822</c:v>
                </c:pt>
                <c:pt idx="139">
                  <c:v>62.890813273989501</c:v>
                </c:pt>
                <c:pt idx="140">
                  <c:v>63.886670434660893</c:v>
                </c:pt>
                <c:pt idx="141">
                  <c:v>62.882562864870771</c:v>
                </c:pt>
                <c:pt idx="142">
                  <c:v>62.302109031357375</c:v>
                </c:pt>
                <c:pt idx="143">
                  <c:v>61.755165560666526</c:v>
                </c:pt>
                <c:pt idx="144">
                  <c:v>62.737598738825241</c:v>
                </c:pt>
                <c:pt idx="145">
                  <c:v>63.592720225101381</c:v>
                </c:pt>
                <c:pt idx="146">
                  <c:v>63.956903061554414</c:v>
                </c:pt>
                <c:pt idx="147">
                  <c:v>63.706490155553013</c:v>
                </c:pt>
                <c:pt idx="148">
                  <c:v>64.748014866045565</c:v>
                </c:pt>
                <c:pt idx="149">
                  <c:v>64.200850094997193</c:v>
                </c:pt>
                <c:pt idx="150">
                  <c:v>63.13897333738911</c:v>
                </c:pt>
                <c:pt idx="151">
                  <c:v>63.131649147040562</c:v>
                </c:pt>
                <c:pt idx="152">
                  <c:v>63.546777830186493</c:v>
                </c:pt>
                <c:pt idx="153">
                  <c:v>64.229389125908085</c:v>
                </c:pt>
                <c:pt idx="154">
                  <c:v>66.846412622581227</c:v>
                </c:pt>
                <c:pt idx="155">
                  <c:v>68.101779946525554</c:v>
                </c:pt>
                <c:pt idx="156">
                  <c:v>69.337865684264187</c:v>
                </c:pt>
                <c:pt idx="157">
                  <c:v>68.934466565787091</c:v>
                </c:pt>
                <c:pt idx="158">
                  <c:v>70.219972343705535</c:v>
                </c:pt>
                <c:pt idx="159">
                  <c:v>68.698218026668812</c:v>
                </c:pt>
                <c:pt idx="160">
                  <c:v>67.035085415271823</c:v>
                </c:pt>
                <c:pt idx="161">
                  <c:v>66.932622905686429</c:v>
                </c:pt>
                <c:pt idx="162">
                  <c:v>65.202014537889937</c:v>
                </c:pt>
                <c:pt idx="163">
                  <c:v>66.175524744339356</c:v>
                </c:pt>
                <c:pt idx="164">
                  <c:v>65.687925018719696</c:v>
                </c:pt>
                <c:pt idx="165">
                  <c:v>66.940960999010386</c:v>
                </c:pt>
                <c:pt idx="166">
                  <c:v>66.829668990216518</c:v>
                </c:pt>
                <c:pt idx="167">
                  <c:v>65.875274167505168</c:v>
                </c:pt>
                <c:pt idx="168">
                  <c:v>65.703626096375928</c:v>
                </c:pt>
                <c:pt idx="169">
                  <c:v>65.845786888567659</c:v>
                </c:pt>
                <c:pt idx="170">
                  <c:v>66.121910562306752</c:v>
                </c:pt>
                <c:pt idx="171">
                  <c:v>67.190366788952474</c:v>
                </c:pt>
                <c:pt idx="172">
                  <c:v>66.997453741805828</c:v>
                </c:pt>
                <c:pt idx="173">
                  <c:v>67.927447551174694</c:v>
                </c:pt>
                <c:pt idx="174">
                  <c:v>66.675551210367018</c:v>
                </c:pt>
                <c:pt idx="175">
                  <c:v>64.710833775863634</c:v>
                </c:pt>
                <c:pt idx="176">
                  <c:v>65.977447554046151</c:v>
                </c:pt>
                <c:pt idx="177">
                  <c:v>65.609229979140707</c:v>
                </c:pt>
                <c:pt idx="178">
                  <c:v>65.820637352364002</c:v>
                </c:pt>
                <c:pt idx="179">
                  <c:v>66.469002463018512</c:v>
                </c:pt>
                <c:pt idx="180">
                  <c:v>64.758153929852753</c:v>
                </c:pt>
                <c:pt idx="181">
                  <c:v>64.598893084361578</c:v>
                </c:pt>
                <c:pt idx="182">
                  <c:v>64.507723772249079</c:v>
                </c:pt>
                <c:pt idx="183">
                  <c:v>63.508911358625859</c:v>
                </c:pt>
                <c:pt idx="184">
                  <c:v>65.015045741321899</c:v>
                </c:pt>
                <c:pt idx="185">
                  <c:v>66.103942519105914</c:v>
                </c:pt>
                <c:pt idx="186">
                  <c:v>68.771237461414159</c:v>
                </c:pt>
                <c:pt idx="187">
                  <c:v>69.811763858054277</c:v>
                </c:pt>
                <c:pt idx="188">
                  <c:v>69.640167062674081</c:v>
                </c:pt>
                <c:pt idx="189">
                  <c:v>70.099340925672237</c:v>
                </c:pt>
                <c:pt idx="190">
                  <c:v>70.326271940880531</c:v>
                </c:pt>
                <c:pt idx="191">
                  <c:v>69.328606891113623</c:v>
                </c:pt>
                <c:pt idx="192">
                  <c:v>69.06034833952512</c:v>
                </c:pt>
                <c:pt idx="193">
                  <c:v>68.459980409510393</c:v>
                </c:pt>
                <c:pt idx="194">
                  <c:v>66.738900531630307</c:v>
                </c:pt>
                <c:pt idx="195">
                  <c:v>67.503202915878475</c:v>
                </c:pt>
                <c:pt idx="196">
                  <c:v>68.682836726171971</c:v>
                </c:pt>
                <c:pt idx="197">
                  <c:v>68.757667706906204</c:v>
                </c:pt>
                <c:pt idx="198">
                  <c:v>69.881903307449178</c:v>
                </c:pt>
                <c:pt idx="199">
                  <c:v>70.286636637767302</c:v>
                </c:pt>
                <c:pt idx="200">
                  <c:v>71.290131165562912</c:v>
                </c:pt>
                <c:pt idx="201">
                  <c:v>69.993731399916527</c:v>
                </c:pt>
                <c:pt idx="202">
                  <c:v>69.144919831923801</c:v>
                </c:pt>
                <c:pt idx="203">
                  <c:v>68.772686387704496</c:v>
                </c:pt>
                <c:pt idx="204">
                  <c:v>68.096135972992528</c:v>
                </c:pt>
                <c:pt idx="205">
                  <c:v>67.603335003546633</c:v>
                </c:pt>
                <c:pt idx="206">
                  <c:v>70.370079460035868</c:v>
                </c:pt>
                <c:pt idx="207">
                  <c:v>67.153615171449204</c:v>
                </c:pt>
                <c:pt idx="208">
                  <c:v>66.895627869157551</c:v>
                </c:pt>
                <c:pt idx="209">
                  <c:v>68.844228546344695</c:v>
                </c:pt>
                <c:pt idx="210">
                  <c:v>67.076523552711976</c:v>
                </c:pt>
                <c:pt idx="211">
                  <c:v>63.930793401564941</c:v>
                </c:pt>
                <c:pt idx="212">
                  <c:v>63.128389907750154</c:v>
                </c:pt>
                <c:pt idx="213">
                  <c:v>65.989540123439397</c:v>
                </c:pt>
                <c:pt idx="214">
                  <c:v>66.558616600615011</c:v>
                </c:pt>
                <c:pt idx="215">
                  <c:v>65.017536359459569</c:v>
                </c:pt>
                <c:pt idx="216">
                  <c:v>63.429684224858995</c:v>
                </c:pt>
                <c:pt idx="217">
                  <c:v>64.717799549186168</c:v>
                </c:pt>
                <c:pt idx="218">
                  <c:v>64.177411428823589</c:v>
                </c:pt>
                <c:pt idx="219">
                  <c:v>64.786507804266364</c:v>
                </c:pt>
                <c:pt idx="220">
                  <c:v>64.522429281743953</c:v>
                </c:pt>
                <c:pt idx="221">
                  <c:v>63.450365028178545</c:v>
                </c:pt>
                <c:pt idx="222">
                  <c:v>63.441980821379957</c:v>
                </c:pt>
                <c:pt idx="223">
                  <c:v>63.421396913924305</c:v>
                </c:pt>
                <c:pt idx="224">
                  <c:v>62.762902339841766</c:v>
                </c:pt>
                <c:pt idx="225">
                  <c:v>62.468078801269662</c:v>
                </c:pt>
                <c:pt idx="226">
                  <c:v>65.203517122338937</c:v>
                </c:pt>
                <c:pt idx="227">
                  <c:v>68.534674197277624</c:v>
                </c:pt>
                <c:pt idx="228">
                  <c:v>68.755870510964499</c:v>
                </c:pt>
                <c:pt idx="229">
                  <c:v>71.135711756952645</c:v>
                </c:pt>
                <c:pt idx="230">
                  <c:v>70.303755008180858</c:v>
                </c:pt>
                <c:pt idx="231">
                  <c:v>67.572822648661514</c:v>
                </c:pt>
                <c:pt idx="232">
                  <c:v>67.470454126469505</c:v>
                </c:pt>
                <c:pt idx="233">
                  <c:v>65.77097795692795</c:v>
                </c:pt>
                <c:pt idx="234">
                  <c:v>65.56558459821764</c:v>
                </c:pt>
                <c:pt idx="235">
                  <c:v>64.72886157907358</c:v>
                </c:pt>
                <c:pt idx="236">
                  <c:v>65.429904107748612</c:v>
                </c:pt>
                <c:pt idx="237">
                  <c:v>64.94377188723287</c:v>
                </c:pt>
                <c:pt idx="238">
                  <c:v>65.939228063822384</c:v>
                </c:pt>
                <c:pt idx="239">
                  <c:v>66.841346057659791</c:v>
                </c:pt>
                <c:pt idx="240">
                  <c:v>67.486484049994218</c:v>
                </c:pt>
                <c:pt idx="241">
                  <c:v>67.942181689614756</c:v>
                </c:pt>
                <c:pt idx="242">
                  <c:v>67.18230190569281</c:v>
                </c:pt>
                <c:pt idx="243">
                  <c:v>67.895156961522076</c:v>
                </c:pt>
                <c:pt idx="244">
                  <c:v>69.100015327955376</c:v>
                </c:pt>
                <c:pt idx="245">
                  <c:v>70.324528907740017</c:v>
                </c:pt>
                <c:pt idx="246">
                  <c:v>69.440528852208445</c:v>
                </c:pt>
                <c:pt idx="247">
                  <c:v>66.593680440477755</c:v>
                </c:pt>
                <c:pt idx="248">
                  <c:v>69.4872689245244</c:v>
                </c:pt>
                <c:pt idx="249">
                  <c:v>69.88608106798165</c:v>
                </c:pt>
                <c:pt idx="250">
                  <c:v>69.164659045788838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52-4049-9848-EDD6BAC9B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49088"/>
        <c:axId val="75450624"/>
      </c:lineChart>
      <c:catAx>
        <c:axId val="75449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50624"/>
        <c:crosses val="autoZero"/>
        <c:auto val="1"/>
        <c:lblAlgn val="ctr"/>
        <c:lblOffset val="100"/>
        <c:noMultiLvlLbl val="0"/>
      </c:catAx>
      <c:valAx>
        <c:axId val="7545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4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'incl monte5'!$O$2:$O$300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99.135306958879042</c:v>
                </c:pt>
                <c:pt idx="2">
                  <c:v>100.07729013823275</c:v>
                </c:pt>
                <c:pt idx="3">
                  <c:v>98.695990493421561</c:v>
                </c:pt>
                <c:pt idx="4">
                  <c:v>99.629711749869273</c:v>
                </c:pt>
                <c:pt idx="5">
                  <c:v>100.42559567218341</c:v>
                </c:pt>
                <c:pt idx="6">
                  <c:v>99.496864993571833</c:v>
                </c:pt>
                <c:pt idx="7">
                  <c:v>101.06300078070512</c:v>
                </c:pt>
                <c:pt idx="8">
                  <c:v>104.5446455739054</c:v>
                </c:pt>
                <c:pt idx="9">
                  <c:v>104.9165431306331</c:v>
                </c:pt>
                <c:pt idx="10">
                  <c:v>101.65053349456373</c:v>
                </c:pt>
                <c:pt idx="11">
                  <c:v>100.34334975044668</c:v>
                </c:pt>
                <c:pt idx="12">
                  <c:v>103.0435405471613</c:v>
                </c:pt>
                <c:pt idx="13">
                  <c:v>102.94483387168486</c:v>
                </c:pt>
                <c:pt idx="14">
                  <c:v>102.11760953544578</c:v>
                </c:pt>
                <c:pt idx="15">
                  <c:v>102.30577491725802</c:v>
                </c:pt>
                <c:pt idx="16">
                  <c:v>102.90578355237713</c:v>
                </c:pt>
                <c:pt idx="17">
                  <c:v>103.66834239496576</c:v>
                </c:pt>
                <c:pt idx="18">
                  <c:v>105.8365400490478</c:v>
                </c:pt>
                <c:pt idx="19">
                  <c:v>108.09449009328584</c:v>
                </c:pt>
                <c:pt idx="20">
                  <c:v>105.92866449213777</c:v>
                </c:pt>
                <c:pt idx="21">
                  <c:v>103.24098062682445</c:v>
                </c:pt>
                <c:pt idx="22">
                  <c:v>104.1610742788901</c:v>
                </c:pt>
                <c:pt idx="23">
                  <c:v>106.86678594088016</c:v>
                </c:pt>
                <c:pt idx="24">
                  <c:v>108.53366389888185</c:v>
                </c:pt>
                <c:pt idx="25">
                  <c:v>107.31158590797986</c:v>
                </c:pt>
                <c:pt idx="26">
                  <c:v>106.56012543686701</c:v>
                </c:pt>
                <c:pt idx="27">
                  <c:v>106.14889122604042</c:v>
                </c:pt>
                <c:pt idx="28">
                  <c:v>104.36693048911043</c:v>
                </c:pt>
                <c:pt idx="29">
                  <c:v>102.86754561267274</c:v>
                </c:pt>
                <c:pt idx="30">
                  <c:v>101.49785277854704</c:v>
                </c:pt>
                <c:pt idx="31">
                  <c:v>100.24737787172252</c:v>
                </c:pt>
                <c:pt idx="32">
                  <c:v>98.979439791810776</c:v>
                </c:pt>
                <c:pt idx="33">
                  <c:v>99.161038661288288</c:v>
                </c:pt>
                <c:pt idx="34">
                  <c:v>97.325359633599291</c:v>
                </c:pt>
                <c:pt idx="35">
                  <c:v>95.735084349910991</c:v>
                </c:pt>
                <c:pt idx="36">
                  <c:v>94.533861989367011</c:v>
                </c:pt>
                <c:pt idx="37">
                  <c:v>96.862201265231263</c:v>
                </c:pt>
                <c:pt idx="38">
                  <c:v>99.886727070361616</c:v>
                </c:pt>
                <c:pt idx="39">
                  <c:v>94.087978530571164</c:v>
                </c:pt>
                <c:pt idx="40">
                  <c:v>93.820584863091483</c:v>
                </c:pt>
                <c:pt idx="41">
                  <c:v>93.063077589018448</c:v>
                </c:pt>
                <c:pt idx="42">
                  <c:v>92.886935199415646</c:v>
                </c:pt>
                <c:pt idx="43">
                  <c:v>93.596316322159979</c:v>
                </c:pt>
                <c:pt idx="44">
                  <c:v>94.076456715982985</c:v>
                </c:pt>
                <c:pt idx="45">
                  <c:v>96.043260229969874</c:v>
                </c:pt>
                <c:pt idx="46">
                  <c:v>94.743875529768388</c:v>
                </c:pt>
                <c:pt idx="47">
                  <c:v>94.663750904403884</c:v>
                </c:pt>
                <c:pt idx="48">
                  <c:v>96.102372157879202</c:v>
                </c:pt>
                <c:pt idx="49">
                  <c:v>99.243030596110586</c:v>
                </c:pt>
                <c:pt idx="50">
                  <c:v>100.5094760950696</c:v>
                </c:pt>
                <c:pt idx="51">
                  <c:v>99.451182520786006</c:v>
                </c:pt>
                <c:pt idx="52">
                  <c:v>98.057491079031863</c:v>
                </c:pt>
                <c:pt idx="53">
                  <c:v>95.706564108280674</c:v>
                </c:pt>
                <c:pt idx="54">
                  <c:v>93.720870071901189</c:v>
                </c:pt>
                <c:pt idx="55">
                  <c:v>91.798452692279099</c:v>
                </c:pt>
                <c:pt idx="56">
                  <c:v>90.024917348855027</c:v>
                </c:pt>
                <c:pt idx="57">
                  <c:v>91.290443939917466</c:v>
                </c:pt>
                <c:pt idx="58">
                  <c:v>93.673209618220909</c:v>
                </c:pt>
                <c:pt idx="59">
                  <c:v>95.140627392677786</c:v>
                </c:pt>
                <c:pt idx="60">
                  <c:v>93.376942399693007</c:v>
                </c:pt>
                <c:pt idx="61">
                  <c:v>92.057372643962637</c:v>
                </c:pt>
                <c:pt idx="62">
                  <c:v>91.21901106003115</c:v>
                </c:pt>
                <c:pt idx="63">
                  <c:v>92.501994010527412</c:v>
                </c:pt>
                <c:pt idx="64">
                  <c:v>95.613147036998058</c:v>
                </c:pt>
                <c:pt idx="65">
                  <c:v>97.377186422648023</c:v>
                </c:pt>
                <c:pt idx="66">
                  <c:v>94.009157004285157</c:v>
                </c:pt>
                <c:pt idx="67">
                  <c:v>92.860682410652345</c:v>
                </c:pt>
                <c:pt idx="68">
                  <c:v>93.462149356655445</c:v>
                </c:pt>
                <c:pt idx="69">
                  <c:v>92.635925343932072</c:v>
                </c:pt>
                <c:pt idx="70">
                  <c:v>92.4292228585347</c:v>
                </c:pt>
                <c:pt idx="71">
                  <c:v>92.620606409418855</c:v>
                </c:pt>
                <c:pt idx="72">
                  <c:v>91.472177916273168</c:v>
                </c:pt>
                <c:pt idx="73">
                  <c:v>91.834933789374716</c:v>
                </c:pt>
                <c:pt idx="74">
                  <c:v>93.786064827668298</c:v>
                </c:pt>
                <c:pt idx="75">
                  <c:v>94.769934643688941</c:v>
                </c:pt>
                <c:pt idx="76">
                  <c:v>90.67058094323562</c:v>
                </c:pt>
                <c:pt idx="77">
                  <c:v>94.318031307876481</c:v>
                </c:pt>
                <c:pt idx="78">
                  <c:v>93.61993919620096</c:v>
                </c:pt>
                <c:pt idx="79">
                  <c:v>91.025249205597817</c:v>
                </c:pt>
                <c:pt idx="80">
                  <c:v>93.765347669775622</c:v>
                </c:pt>
                <c:pt idx="81">
                  <c:v>94.348500605859897</c:v>
                </c:pt>
                <c:pt idx="82">
                  <c:v>95.456481576884173</c:v>
                </c:pt>
                <c:pt idx="83">
                  <c:v>96.931928347922323</c:v>
                </c:pt>
                <c:pt idx="84">
                  <c:v>97.839891889859715</c:v>
                </c:pt>
                <c:pt idx="85">
                  <c:v>98.083830036407377</c:v>
                </c:pt>
                <c:pt idx="86">
                  <c:v>98.039030869709066</c:v>
                </c:pt>
                <c:pt idx="87">
                  <c:v>96.838339342305915</c:v>
                </c:pt>
                <c:pt idx="88">
                  <c:v>96.550199697726597</c:v>
                </c:pt>
                <c:pt idx="89">
                  <c:v>94.965211417802863</c:v>
                </c:pt>
                <c:pt idx="90">
                  <c:v>100.58372115769475</c:v>
                </c:pt>
                <c:pt idx="91">
                  <c:v>101.71036892460998</c:v>
                </c:pt>
                <c:pt idx="92">
                  <c:v>101.68591498667394</c:v>
                </c:pt>
                <c:pt idx="93">
                  <c:v>103.5525587828954</c:v>
                </c:pt>
                <c:pt idx="94">
                  <c:v>104.53766112048527</c:v>
                </c:pt>
                <c:pt idx="95">
                  <c:v>106.26656918745159</c:v>
                </c:pt>
                <c:pt idx="96">
                  <c:v>104.8186653899228</c:v>
                </c:pt>
                <c:pt idx="97">
                  <c:v>103.97155608942886</c:v>
                </c:pt>
                <c:pt idx="98">
                  <c:v>102.78540650984452</c:v>
                </c:pt>
                <c:pt idx="99">
                  <c:v>98.659832715097906</c:v>
                </c:pt>
                <c:pt idx="100">
                  <c:v>98.229211384741234</c:v>
                </c:pt>
                <c:pt idx="101">
                  <c:v>101.41881121134568</c:v>
                </c:pt>
                <c:pt idx="102">
                  <c:v>97.973550889270697</c:v>
                </c:pt>
                <c:pt idx="103">
                  <c:v>98.190983216812171</c:v>
                </c:pt>
                <c:pt idx="104">
                  <c:v>97.193549370329194</c:v>
                </c:pt>
                <c:pt idx="105">
                  <c:v>97.485087778099171</c:v>
                </c:pt>
                <c:pt idx="106">
                  <c:v>101.91533013086682</c:v>
                </c:pt>
                <c:pt idx="107">
                  <c:v>103.14515955967978</c:v>
                </c:pt>
                <c:pt idx="108">
                  <c:v>102.28752452781055</c:v>
                </c:pt>
                <c:pt idx="109">
                  <c:v>102.43877858196848</c:v>
                </c:pt>
                <c:pt idx="110">
                  <c:v>99.987300779869173</c:v>
                </c:pt>
                <c:pt idx="111">
                  <c:v>100.56947661867466</c:v>
                </c:pt>
                <c:pt idx="112">
                  <c:v>100.5157504262561</c:v>
                </c:pt>
                <c:pt idx="113">
                  <c:v>100.99785581061812</c:v>
                </c:pt>
                <c:pt idx="114">
                  <c:v>101.28113813560616</c:v>
                </c:pt>
                <c:pt idx="115">
                  <c:v>98.370817585645881</c:v>
                </c:pt>
                <c:pt idx="116">
                  <c:v>98.250858553814169</c:v>
                </c:pt>
                <c:pt idx="117">
                  <c:v>94.855353287000355</c:v>
                </c:pt>
                <c:pt idx="118">
                  <c:v>97.996605763821307</c:v>
                </c:pt>
                <c:pt idx="119">
                  <c:v>99.026653794790732</c:v>
                </c:pt>
                <c:pt idx="120">
                  <c:v>97.062551081086767</c:v>
                </c:pt>
                <c:pt idx="121">
                  <c:v>96.636377487146277</c:v>
                </c:pt>
                <c:pt idx="122">
                  <c:v>96.106382980655312</c:v>
                </c:pt>
                <c:pt idx="123">
                  <c:v>94.745906933758974</c:v>
                </c:pt>
                <c:pt idx="124">
                  <c:v>96.504054810190226</c:v>
                </c:pt>
                <c:pt idx="125">
                  <c:v>93.744633885563644</c:v>
                </c:pt>
                <c:pt idx="126">
                  <c:v>94.36992739452073</c:v>
                </c:pt>
                <c:pt idx="127">
                  <c:v>94.491243798199363</c:v>
                </c:pt>
                <c:pt idx="128">
                  <c:v>96.675755061919403</c:v>
                </c:pt>
                <c:pt idx="129">
                  <c:v>98.760910911243599</c:v>
                </c:pt>
                <c:pt idx="130">
                  <c:v>97.79220873560017</c:v>
                </c:pt>
                <c:pt idx="131">
                  <c:v>98.291596593079916</c:v>
                </c:pt>
                <c:pt idx="132">
                  <c:v>98.157888905016449</c:v>
                </c:pt>
                <c:pt idx="133">
                  <c:v>96.675361486051528</c:v>
                </c:pt>
                <c:pt idx="134">
                  <c:v>96.70357905870091</c:v>
                </c:pt>
                <c:pt idx="135">
                  <c:v>97.060283678829919</c:v>
                </c:pt>
                <c:pt idx="136">
                  <c:v>101.39192434000198</c:v>
                </c:pt>
                <c:pt idx="137">
                  <c:v>99.73917461110004</c:v>
                </c:pt>
                <c:pt idx="138">
                  <c:v>96.523494612735703</c:v>
                </c:pt>
                <c:pt idx="139">
                  <c:v>97.074429269213738</c:v>
                </c:pt>
                <c:pt idx="140">
                  <c:v>94.575892839487622</c:v>
                </c:pt>
                <c:pt idx="141">
                  <c:v>93.579140317089823</c:v>
                </c:pt>
                <c:pt idx="142">
                  <c:v>90.718818954015646</c:v>
                </c:pt>
                <c:pt idx="143">
                  <c:v>91.783605422450165</c:v>
                </c:pt>
                <c:pt idx="144">
                  <c:v>91.689880159717219</c:v>
                </c:pt>
                <c:pt idx="145">
                  <c:v>89.975991525343218</c:v>
                </c:pt>
                <c:pt idx="146">
                  <c:v>92.49466707291036</c:v>
                </c:pt>
                <c:pt idx="147">
                  <c:v>92.631862739527534</c:v>
                </c:pt>
                <c:pt idx="148">
                  <c:v>90.01373611232637</c:v>
                </c:pt>
                <c:pt idx="149">
                  <c:v>90.091937256126116</c:v>
                </c:pt>
                <c:pt idx="150">
                  <c:v>91.944892773533184</c:v>
                </c:pt>
                <c:pt idx="151">
                  <c:v>89.81087953092478</c:v>
                </c:pt>
                <c:pt idx="152">
                  <c:v>91.423091917515691</c:v>
                </c:pt>
                <c:pt idx="153">
                  <c:v>92.104639579421743</c:v>
                </c:pt>
                <c:pt idx="154">
                  <c:v>91.138474641864732</c:v>
                </c:pt>
                <c:pt idx="155">
                  <c:v>92.706859756011738</c:v>
                </c:pt>
                <c:pt idx="156">
                  <c:v>94.320311419983724</c:v>
                </c:pt>
                <c:pt idx="157">
                  <c:v>93.998005069237394</c:v>
                </c:pt>
                <c:pt idx="158">
                  <c:v>95.228568586793571</c:v>
                </c:pt>
                <c:pt idx="159">
                  <c:v>97.133300902322631</c:v>
                </c:pt>
                <c:pt idx="160">
                  <c:v>96.998760596151328</c:v>
                </c:pt>
                <c:pt idx="161">
                  <c:v>101.99879106311823</c:v>
                </c:pt>
                <c:pt idx="162">
                  <c:v>99.900359900132372</c:v>
                </c:pt>
                <c:pt idx="163">
                  <c:v>98.338332959852792</c:v>
                </c:pt>
                <c:pt idx="164">
                  <c:v>96.769302462407836</c:v>
                </c:pt>
                <c:pt idx="165">
                  <c:v>94.922292120750981</c:v>
                </c:pt>
                <c:pt idx="166">
                  <c:v>93.148190247829177</c:v>
                </c:pt>
                <c:pt idx="167">
                  <c:v>93.918442753663797</c:v>
                </c:pt>
                <c:pt idx="168">
                  <c:v>97.326571987588778</c:v>
                </c:pt>
                <c:pt idx="169">
                  <c:v>98.715106874386436</c:v>
                </c:pt>
                <c:pt idx="170">
                  <c:v>98.310153180374215</c:v>
                </c:pt>
                <c:pt idx="171">
                  <c:v>100.73099538070578</c:v>
                </c:pt>
                <c:pt idx="172">
                  <c:v>100.29831631874353</c:v>
                </c:pt>
                <c:pt idx="173">
                  <c:v>100.06018935759651</c:v>
                </c:pt>
                <c:pt idx="174">
                  <c:v>98.480600964505896</c:v>
                </c:pt>
                <c:pt idx="175">
                  <c:v>99.955014126654447</c:v>
                </c:pt>
                <c:pt idx="176">
                  <c:v>99.805652572052608</c:v>
                </c:pt>
                <c:pt idx="177">
                  <c:v>97.429305338111234</c:v>
                </c:pt>
                <c:pt idx="178">
                  <c:v>100.02088964774141</c:v>
                </c:pt>
                <c:pt idx="179">
                  <c:v>98.91305003265542</c:v>
                </c:pt>
                <c:pt idx="180">
                  <c:v>97.627893125915378</c:v>
                </c:pt>
                <c:pt idx="181">
                  <c:v>97.951245076646117</c:v>
                </c:pt>
                <c:pt idx="182">
                  <c:v>97.806516082529441</c:v>
                </c:pt>
                <c:pt idx="183">
                  <c:v>97.424801453580741</c:v>
                </c:pt>
                <c:pt idx="184">
                  <c:v>96.435406435533025</c:v>
                </c:pt>
                <c:pt idx="185">
                  <c:v>99.104135695151101</c:v>
                </c:pt>
                <c:pt idx="186">
                  <c:v>100.02436625126857</c:v>
                </c:pt>
                <c:pt idx="187">
                  <c:v>101.26812459737847</c:v>
                </c:pt>
                <c:pt idx="188">
                  <c:v>99.8453563218021</c:v>
                </c:pt>
                <c:pt idx="189">
                  <c:v>100.04875010259057</c:v>
                </c:pt>
                <c:pt idx="190">
                  <c:v>99.549600211149794</c:v>
                </c:pt>
                <c:pt idx="191">
                  <c:v>99.592385404158065</c:v>
                </c:pt>
                <c:pt idx="192">
                  <c:v>96.882150565383199</c:v>
                </c:pt>
                <c:pt idx="193">
                  <c:v>97.085521506754191</c:v>
                </c:pt>
                <c:pt idx="194">
                  <c:v>99.512346116666862</c:v>
                </c:pt>
                <c:pt idx="195">
                  <c:v>100.76779344858473</c:v>
                </c:pt>
                <c:pt idx="196">
                  <c:v>99.6495158917118</c:v>
                </c:pt>
                <c:pt idx="197">
                  <c:v>95.32997386894678</c:v>
                </c:pt>
                <c:pt idx="198">
                  <c:v>95.777368037047935</c:v>
                </c:pt>
                <c:pt idx="199">
                  <c:v>96.922684941689795</c:v>
                </c:pt>
                <c:pt idx="200">
                  <c:v>95.967498625819871</c:v>
                </c:pt>
                <c:pt idx="201">
                  <c:v>95.583665566403468</c:v>
                </c:pt>
                <c:pt idx="202">
                  <c:v>94.389341783795146</c:v>
                </c:pt>
                <c:pt idx="203">
                  <c:v>94.550384887669637</c:v>
                </c:pt>
                <c:pt idx="204">
                  <c:v>91.164616391274009</c:v>
                </c:pt>
                <c:pt idx="205">
                  <c:v>89.489575219896054</c:v>
                </c:pt>
                <c:pt idx="206">
                  <c:v>89.814251148004686</c:v>
                </c:pt>
                <c:pt idx="207">
                  <c:v>91.397866275323111</c:v>
                </c:pt>
                <c:pt idx="208">
                  <c:v>90.806957344264518</c:v>
                </c:pt>
                <c:pt idx="209">
                  <c:v>88.571037985745107</c:v>
                </c:pt>
                <c:pt idx="210">
                  <c:v>87.067372067885316</c:v>
                </c:pt>
                <c:pt idx="211">
                  <c:v>85.376568172421784</c:v>
                </c:pt>
                <c:pt idx="212">
                  <c:v>84.53548096216133</c:v>
                </c:pt>
                <c:pt idx="213">
                  <c:v>87.677930135850076</c:v>
                </c:pt>
                <c:pt idx="214">
                  <c:v>91.264313190922621</c:v>
                </c:pt>
                <c:pt idx="215">
                  <c:v>93.239779574784293</c:v>
                </c:pt>
                <c:pt idx="216">
                  <c:v>93.085865781197896</c:v>
                </c:pt>
                <c:pt idx="217">
                  <c:v>93.097805833326802</c:v>
                </c:pt>
                <c:pt idx="218">
                  <c:v>90.919542270322566</c:v>
                </c:pt>
                <c:pt idx="219">
                  <c:v>88.201743124025811</c:v>
                </c:pt>
                <c:pt idx="220">
                  <c:v>87.700597567018619</c:v>
                </c:pt>
                <c:pt idx="221">
                  <c:v>90.353290114228216</c:v>
                </c:pt>
                <c:pt idx="222">
                  <c:v>90.09733446322457</c:v>
                </c:pt>
                <c:pt idx="223">
                  <c:v>91.040900834593117</c:v>
                </c:pt>
                <c:pt idx="224">
                  <c:v>91.206308947297245</c:v>
                </c:pt>
                <c:pt idx="225">
                  <c:v>88.378463464185756</c:v>
                </c:pt>
                <c:pt idx="226">
                  <c:v>90.486837595492332</c:v>
                </c:pt>
                <c:pt idx="227">
                  <c:v>90.217060559324523</c:v>
                </c:pt>
                <c:pt idx="228">
                  <c:v>88.86360266461277</c:v>
                </c:pt>
                <c:pt idx="229">
                  <c:v>88.530714873290449</c:v>
                </c:pt>
                <c:pt idx="230">
                  <c:v>86.639114872687188</c:v>
                </c:pt>
                <c:pt idx="231">
                  <c:v>86.995026570142571</c:v>
                </c:pt>
                <c:pt idx="232">
                  <c:v>87.910055618896166</c:v>
                </c:pt>
                <c:pt idx="233">
                  <c:v>88.883976155249997</c:v>
                </c:pt>
                <c:pt idx="234">
                  <c:v>89.427125041971308</c:v>
                </c:pt>
                <c:pt idx="235">
                  <c:v>91.932603087889433</c:v>
                </c:pt>
                <c:pt idx="236">
                  <c:v>91.839253671448304</c:v>
                </c:pt>
                <c:pt idx="237">
                  <c:v>92.503403885016553</c:v>
                </c:pt>
                <c:pt idx="238">
                  <c:v>94.799300863358667</c:v>
                </c:pt>
                <c:pt idx="239">
                  <c:v>93.906707356230285</c:v>
                </c:pt>
                <c:pt idx="240">
                  <c:v>92.802188160464027</c:v>
                </c:pt>
                <c:pt idx="241">
                  <c:v>90.235176510157359</c:v>
                </c:pt>
                <c:pt idx="242">
                  <c:v>90.610384132537931</c:v>
                </c:pt>
                <c:pt idx="243">
                  <c:v>92.472884298564793</c:v>
                </c:pt>
                <c:pt idx="244">
                  <c:v>91.299099968507193</c:v>
                </c:pt>
                <c:pt idx="245">
                  <c:v>94.385339510959199</c:v>
                </c:pt>
                <c:pt idx="246">
                  <c:v>92.579884767292114</c:v>
                </c:pt>
                <c:pt idx="247">
                  <c:v>91.406691833105725</c:v>
                </c:pt>
                <c:pt idx="248">
                  <c:v>91.252056329628999</c:v>
                </c:pt>
                <c:pt idx="249">
                  <c:v>92.314702840564024</c:v>
                </c:pt>
                <c:pt idx="250">
                  <c:v>93.257349479691726</c:v>
                </c:pt>
                <c:pt idx="251">
                  <c:v>92.519562495750108</c:v>
                </c:pt>
                <c:pt idx="252">
                  <c:v>94.341286127118153</c:v>
                </c:pt>
                <c:pt idx="253">
                  <c:v>92.973979022447608</c:v>
                </c:pt>
                <c:pt idx="254">
                  <c:v>96.776593695235363</c:v>
                </c:pt>
                <c:pt idx="255">
                  <c:v>96.702562608634992</c:v>
                </c:pt>
                <c:pt idx="256">
                  <c:v>99.187532894483837</c:v>
                </c:pt>
                <c:pt idx="257">
                  <c:v>100.02636894880813</c:v>
                </c:pt>
                <c:pt idx="258">
                  <c:v>99.126597637041485</c:v>
                </c:pt>
                <c:pt idx="259">
                  <c:v>99.992339046593202</c:v>
                </c:pt>
                <c:pt idx="260">
                  <c:v>98.397267879381843</c:v>
                </c:pt>
                <c:pt idx="261">
                  <c:v>100.12727094077219</c:v>
                </c:pt>
                <c:pt idx="262">
                  <c:v>101.32151099009708</c:v>
                </c:pt>
                <c:pt idx="263">
                  <c:v>99.286253332512217</c:v>
                </c:pt>
                <c:pt idx="264">
                  <c:v>99.920008913121407</c:v>
                </c:pt>
                <c:pt idx="265">
                  <c:v>100.8547019506571</c:v>
                </c:pt>
                <c:pt idx="266">
                  <c:v>101.72207992608585</c:v>
                </c:pt>
                <c:pt idx="267">
                  <c:v>99.940931402241205</c:v>
                </c:pt>
                <c:pt idx="268">
                  <c:v>102.34571854898829</c:v>
                </c:pt>
                <c:pt idx="269">
                  <c:v>103.39033778622705</c:v>
                </c:pt>
                <c:pt idx="270">
                  <c:v>105.97569676049618</c:v>
                </c:pt>
                <c:pt idx="271">
                  <c:v>108.75677785881062</c:v>
                </c:pt>
                <c:pt idx="272">
                  <c:v>108.55205645087607</c:v>
                </c:pt>
                <c:pt idx="273">
                  <c:v>106.30127605575858</c:v>
                </c:pt>
                <c:pt idx="274">
                  <c:v>107.99513209236321</c:v>
                </c:pt>
                <c:pt idx="275">
                  <c:v>109.11359352757138</c:v>
                </c:pt>
                <c:pt idx="276">
                  <c:v>109.47754990103522</c:v>
                </c:pt>
                <c:pt idx="277">
                  <c:v>109.66780701279066</c:v>
                </c:pt>
                <c:pt idx="278">
                  <c:v>108.13322557062934</c:v>
                </c:pt>
                <c:pt idx="279">
                  <c:v>107.95554748332817</c:v>
                </c:pt>
                <c:pt idx="280">
                  <c:v>109.3891912220265</c:v>
                </c:pt>
                <c:pt idx="281">
                  <c:v>110.37109680364858</c:v>
                </c:pt>
                <c:pt idx="282">
                  <c:v>109.05164039314847</c:v>
                </c:pt>
                <c:pt idx="283">
                  <c:v>109.87022314278325</c:v>
                </c:pt>
                <c:pt idx="284">
                  <c:v>108.53042807540855</c:v>
                </c:pt>
                <c:pt idx="285">
                  <c:v>108.6658956623538</c:v>
                </c:pt>
                <c:pt idx="286">
                  <c:v>105.14438970553866</c:v>
                </c:pt>
                <c:pt idx="287">
                  <c:v>104.1858364288891</c:v>
                </c:pt>
                <c:pt idx="288">
                  <c:v>105.83461622918364</c:v>
                </c:pt>
                <c:pt idx="289">
                  <c:v>107.84732479587178</c:v>
                </c:pt>
                <c:pt idx="290">
                  <c:v>109.23137393585989</c:v>
                </c:pt>
                <c:pt idx="291">
                  <c:v>107.74046187008129</c:v>
                </c:pt>
                <c:pt idx="292">
                  <c:v>110.41743128847261</c:v>
                </c:pt>
                <c:pt idx="293">
                  <c:v>108.41739001496941</c:v>
                </c:pt>
                <c:pt idx="294">
                  <c:v>107.08033474607178</c:v>
                </c:pt>
                <c:pt idx="295">
                  <c:v>110.64752180661787</c:v>
                </c:pt>
                <c:pt idx="296">
                  <c:v>109.86561594878495</c:v>
                </c:pt>
                <c:pt idx="297">
                  <c:v>110.53479109088494</c:v>
                </c:pt>
                <c:pt idx="298">
                  <c:v>111.80030991008883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A-F841-AA30-BF0F7831262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'incl monte5'!$P$2:$P$300</c:f>
              <c:numCache>
                <c:formatCode>General</c:formatCode>
                <c:ptCount val="299"/>
                <c:pt idx="0">
                  <c:v>80</c:v>
                </c:pt>
                <c:pt idx="1">
                  <c:v>77.824242133402223</c:v>
                </c:pt>
                <c:pt idx="2">
                  <c:v>78.352590241867006</c:v>
                </c:pt>
                <c:pt idx="3">
                  <c:v>77.977897778451023</c:v>
                </c:pt>
                <c:pt idx="4">
                  <c:v>80.242468940690031</c:v>
                </c:pt>
                <c:pt idx="5">
                  <c:v>80.607982106445547</c:v>
                </c:pt>
                <c:pt idx="6">
                  <c:v>79.364133049958937</c:v>
                </c:pt>
                <c:pt idx="7">
                  <c:v>78.114668840352678</c:v>
                </c:pt>
                <c:pt idx="8">
                  <c:v>77.160551533161438</c:v>
                </c:pt>
                <c:pt idx="9">
                  <c:v>79.165777654959626</c:v>
                </c:pt>
                <c:pt idx="10">
                  <c:v>78.391826052843072</c:v>
                </c:pt>
                <c:pt idx="11">
                  <c:v>77.143248670503141</c:v>
                </c:pt>
                <c:pt idx="12">
                  <c:v>76.94261501998561</c:v>
                </c:pt>
                <c:pt idx="13">
                  <c:v>72.126331862270632</c:v>
                </c:pt>
                <c:pt idx="14">
                  <c:v>71.833792292295968</c:v>
                </c:pt>
                <c:pt idx="15">
                  <c:v>70.571213564305268</c:v>
                </c:pt>
                <c:pt idx="16">
                  <c:v>70.745946154605846</c:v>
                </c:pt>
                <c:pt idx="17">
                  <c:v>69.650486290261625</c:v>
                </c:pt>
                <c:pt idx="18">
                  <c:v>70.027536617384953</c:v>
                </c:pt>
                <c:pt idx="19">
                  <c:v>69.803721311580958</c:v>
                </c:pt>
                <c:pt idx="20">
                  <c:v>69.983433285623036</c:v>
                </c:pt>
                <c:pt idx="21">
                  <c:v>67.522898742992552</c:v>
                </c:pt>
                <c:pt idx="22">
                  <c:v>68.454201489525943</c:v>
                </c:pt>
                <c:pt idx="23">
                  <c:v>69.609866709056462</c:v>
                </c:pt>
                <c:pt idx="24">
                  <c:v>71.153958546895879</c:v>
                </c:pt>
                <c:pt idx="25">
                  <c:v>70.364524517028372</c:v>
                </c:pt>
                <c:pt idx="26">
                  <c:v>70.830287458021559</c:v>
                </c:pt>
                <c:pt idx="27">
                  <c:v>68.896156853625456</c:v>
                </c:pt>
                <c:pt idx="28">
                  <c:v>69.68364368238862</c:v>
                </c:pt>
                <c:pt idx="29">
                  <c:v>70.0062629530739</c:v>
                </c:pt>
                <c:pt idx="30">
                  <c:v>69.872745779238798</c:v>
                </c:pt>
                <c:pt idx="31">
                  <c:v>69.485400516444372</c:v>
                </c:pt>
                <c:pt idx="32">
                  <c:v>68.405715003260369</c:v>
                </c:pt>
                <c:pt idx="33">
                  <c:v>69.445511818381263</c:v>
                </c:pt>
                <c:pt idx="34">
                  <c:v>68.815539823102213</c:v>
                </c:pt>
                <c:pt idx="35">
                  <c:v>67.007493118599399</c:v>
                </c:pt>
                <c:pt idx="36">
                  <c:v>66.169056031600576</c:v>
                </c:pt>
                <c:pt idx="37">
                  <c:v>66.925606895667613</c:v>
                </c:pt>
                <c:pt idx="38">
                  <c:v>67.766216953826856</c:v>
                </c:pt>
                <c:pt idx="39">
                  <c:v>65.959050050718432</c:v>
                </c:pt>
                <c:pt idx="40">
                  <c:v>65.313953254106821</c:v>
                </c:pt>
                <c:pt idx="41">
                  <c:v>66.674059294490689</c:v>
                </c:pt>
                <c:pt idx="42">
                  <c:v>69.091242611569839</c:v>
                </c:pt>
                <c:pt idx="43">
                  <c:v>68.273961270346916</c:v>
                </c:pt>
                <c:pt idx="44">
                  <c:v>70.859938792193745</c:v>
                </c:pt>
                <c:pt idx="45">
                  <c:v>71.479652274407911</c:v>
                </c:pt>
                <c:pt idx="46">
                  <c:v>72.970886763663671</c:v>
                </c:pt>
                <c:pt idx="47">
                  <c:v>72.254755052569053</c:v>
                </c:pt>
                <c:pt idx="48">
                  <c:v>74.366452450161688</c:v>
                </c:pt>
                <c:pt idx="49">
                  <c:v>75.604423139948892</c:v>
                </c:pt>
                <c:pt idx="50">
                  <c:v>77.766638604940312</c:v>
                </c:pt>
                <c:pt idx="51">
                  <c:v>76.155782073136862</c:v>
                </c:pt>
                <c:pt idx="52">
                  <c:v>76.080138605520489</c:v>
                </c:pt>
                <c:pt idx="53">
                  <c:v>77.401347662647339</c:v>
                </c:pt>
                <c:pt idx="54">
                  <c:v>76.614853341895056</c:v>
                </c:pt>
                <c:pt idx="55">
                  <c:v>76.972416123377101</c:v>
                </c:pt>
                <c:pt idx="56">
                  <c:v>77.618846720014872</c:v>
                </c:pt>
                <c:pt idx="57">
                  <c:v>79.255519579802026</c:v>
                </c:pt>
                <c:pt idx="58">
                  <c:v>81.002486213903978</c:v>
                </c:pt>
                <c:pt idx="59">
                  <c:v>82.888725165729213</c:v>
                </c:pt>
                <c:pt idx="60">
                  <c:v>83.82188696097694</c:v>
                </c:pt>
                <c:pt idx="61">
                  <c:v>81.327472529041827</c:v>
                </c:pt>
                <c:pt idx="62">
                  <c:v>77.871246744341235</c:v>
                </c:pt>
                <c:pt idx="63">
                  <c:v>76.967539529501977</c:v>
                </c:pt>
                <c:pt idx="64">
                  <c:v>75.825281587248341</c:v>
                </c:pt>
                <c:pt idx="65">
                  <c:v>78.847966028114357</c:v>
                </c:pt>
                <c:pt idx="66">
                  <c:v>77.779618832352426</c:v>
                </c:pt>
                <c:pt idx="67">
                  <c:v>75.995037884425471</c:v>
                </c:pt>
                <c:pt idx="68">
                  <c:v>77.311900090644301</c:v>
                </c:pt>
                <c:pt idx="69">
                  <c:v>77.383149927301702</c:v>
                </c:pt>
                <c:pt idx="70">
                  <c:v>77.469667104957026</c:v>
                </c:pt>
                <c:pt idx="71">
                  <c:v>75.825790775631006</c:v>
                </c:pt>
                <c:pt idx="72">
                  <c:v>77.243780961420384</c:v>
                </c:pt>
                <c:pt idx="73">
                  <c:v>76.301097826320273</c:v>
                </c:pt>
                <c:pt idx="74">
                  <c:v>78.523800551698159</c:v>
                </c:pt>
                <c:pt idx="75">
                  <c:v>79.609932779940962</c:v>
                </c:pt>
                <c:pt idx="76">
                  <c:v>76.781135732499777</c:v>
                </c:pt>
                <c:pt idx="77">
                  <c:v>76.622095435003061</c:v>
                </c:pt>
                <c:pt idx="78">
                  <c:v>75.113296753301725</c:v>
                </c:pt>
                <c:pt idx="79">
                  <c:v>73.72483189146304</c:v>
                </c:pt>
                <c:pt idx="80">
                  <c:v>72.225081639734213</c:v>
                </c:pt>
                <c:pt idx="81">
                  <c:v>74.714428109336239</c:v>
                </c:pt>
                <c:pt idx="82">
                  <c:v>76.762783345695397</c:v>
                </c:pt>
                <c:pt idx="83">
                  <c:v>77.508820386383633</c:v>
                </c:pt>
                <c:pt idx="84">
                  <c:v>78.83197696769939</c:v>
                </c:pt>
                <c:pt idx="85">
                  <c:v>78.984655885078041</c:v>
                </c:pt>
                <c:pt idx="86">
                  <c:v>77.944140303275077</c:v>
                </c:pt>
                <c:pt idx="87">
                  <c:v>78.557082948859318</c:v>
                </c:pt>
                <c:pt idx="88">
                  <c:v>79.938500667822282</c:v>
                </c:pt>
                <c:pt idx="89">
                  <c:v>78.196050576261186</c:v>
                </c:pt>
                <c:pt idx="90">
                  <c:v>77.918138560554539</c:v>
                </c:pt>
                <c:pt idx="91">
                  <c:v>79.107286987715895</c:v>
                </c:pt>
                <c:pt idx="92">
                  <c:v>77.464757765397053</c:v>
                </c:pt>
                <c:pt idx="93">
                  <c:v>75.0539675493755</c:v>
                </c:pt>
                <c:pt idx="94">
                  <c:v>76.384087288824489</c:v>
                </c:pt>
                <c:pt idx="95">
                  <c:v>76.080549014048444</c:v>
                </c:pt>
                <c:pt idx="96">
                  <c:v>75.104491156389955</c:v>
                </c:pt>
                <c:pt idx="97">
                  <c:v>75.467348604599067</c:v>
                </c:pt>
                <c:pt idx="98">
                  <c:v>74.581067266057175</c:v>
                </c:pt>
                <c:pt idx="99">
                  <c:v>73.071186668637608</c:v>
                </c:pt>
                <c:pt idx="100">
                  <c:v>70.959087880549347</c:v>
                </c:pt>
                <c:pt idx="101">
                  <c:v>72.856224331725812</c:v>
                </c:pt>
                <c:pt idx="102">
                  <c:v>69.407123933959952</c:v>
                </c:pt>
                <c:pt idx="103">
                  <c:v>68.403268723080956</c:v>
                </c:pt>
                <c:pt idx="104">
                  <c:v>66.631695559909758</c:v>
                </c:pt>
                <c:pt idx="105">
                  <c:v>66.728074627905372</c:v>
                </c:pt>
                <c:pt idx="106">
                  <c:v>68.638360444111228</c:v>
                </c:pt>
                <c:pt idx="107">
                  <c:v>66.212318940787512</c:v>
                </c:pt>
                <c:pt idx="108">
                  <c:v>65.566119235672204</c:v>
                </c:pt>
                <c:pt idx="109">
                  <c:v>64.901335077817535</c:v>
                </c:pt>
                <c:pt idx="110">
                  <c:v>64.247539595261856</c:v>
                </c:pt>
                <c:pt idx="111">
                  <c:v>65.821018814545909</c:v>
                </c:pt>
                <c:pt idx="112">
                  <c:v>65.75355032846079</c:v>
                </c:pt>
                <c:pt idx="113">
                  <c:v>68.088244928212504</c:v>
                </c:pt>
                <c:pt idx="114">
                  <c:v>68.781266548484794</c:v>
                </c:pt>
                <c:pt idx="115">
                  <c:v>67.405128364412036</c:v>
                </c:pt>
                <c:pt idx="116">
                  <c:v>67.488296521916681</c:v>
                </c:pt>
                <c:pt idx="117">
                  <c:v>67.63438945448712</c:v>
                </c:pt>
                <c:pt idx="118">
                  <c:v>67.767431582218066</c:v>
                </c:pt>
                <c:pt idx="119">
                  <c:v>69.43807697651944</c:v>
                </c:pt>
                <c:pt idx="120">
                  <c:v>69.241932668570158</c:v>
                </c:pt>
                <c:pt idx="121">
                  <c:v>69.506556059964254</c:v>
                </c:pt>
                <c:pt idx="122">
                  <c:v>69.726476885625075</c:v>
                </c:pt>
                <c:pt idx="123">
                  <c:v>71.72958045141192</c:v>
                </c:pt>
                <c:pt idx="124">
                  <c:v>70.984621145154051</c:v>
                </c:pt>
                <c:pt idx="125">
                  <c:v>70.485145375863908</c:v>
                </c:pt>
                <c:pt idx="126">
                  <c:v>69.487853367472781</c:v>
                </c:pt>
                <c:pt idx="127">
                  <c:v>70.65131240342005</c:v>
                </c:pt>
                <c:pt idx="128">
                  <c:v>69.275772509613603</c:v>
                </c:pt>
                <c:pt idx="129">
                  <c:v>68.164495280228266</c:v>
                </c:pt>
                <c:pt idx="130">
                  <c:v>68.204938304104232</c:v>
                </c:pt>
                <c:pt idx="131">
                  <c:v>68.627304370591915</c:v>
                </c:pt>
                <c:pt idx="132">
                  <c:v>66.899804086438536</c:v>
                </c:pt>
                <c:pt idx="133">
                  <c:v>65.945703414356544</c:v>
                </c:pt>
                <c:pt idx="134">
                  <c:v>66.117301942971238</c:v>
                </c:pt>
                <c:pt idx="135">
                  <c:v>66.4781223874799</c:v>
                </c:pt>
                <c:pt idx="136">
                  <c:v>68.893734412875148</c:v>
                </c:pt>
                <c:pt idx="137">
                  <c:v>68.490571254293599</c:v>
                </c:pt>
                <c:pt idx="138">
                  <c:v>68.005605329905791</c:v>
                </c:pt>
                <c:pt idx="139">
                  <c:v>69.642722043043989</c:v>
                </c:pt>
                <c:pt idx="140">
                  <c:v>69.107639475331197</c:v>
                </c:pt>
                <c:pt idx="141">
                  <c:v>67.34611039875081</c:v>
                </c:pt>
                <c:pt idx="142">
                  <c:v>65.77762409569813</c:v>
                </c:pt>
                <c:pt idx="143">
                  <c:v>66.369546339648295</c:v>
                </c:pt>
                <c:pt idx="144">
                  <c:v>67.202592347328718</c:v>
                </c:pt>
                <c:pt idx="145">
                  <c:v>65.956566155692116</c:v>
                </c:pt>
                <c:pt idx="146">
                  <c:v>67.197791001335119</c:v>
                </c:pt>
                <c:pt idx="147">
                  <c:v>66.242601604381449</c:v>
                </c:pt>
                <c:pt idx="148">
                  <c:v>63.628263483235692</c:v>
                </c:pt>
                <c:pt idx="149">
                  <c:v>63.096761906171444</c:v>
                </c:pt>
                <c:pt idx="150">
                  <c:v>64.808697826565165</c:v>
                </c:pt>
                <c:pt idx="151">
                  <c:v>64.550773373034247</c:v>
                </c:pt>
                <c:pt idx="152">
                  <c:v>65.825310199913019</c:v>
                </c:pt>
                <c:pt idx="153">
                  <c:v>65.601102226270015</c:v>
                </c:pt>
                <c:pt idx="154">
                  <c:v>66.416734804269396</c:v>
                </c:pt>
                <c:pt idx="155">
                  <c:v>68.546034648520035</c:v>
                </c:pt>
                <c:pt idx="156">
                  <c:v>69.073092432102698</c:v>
                </c:pt>
                <c:pt idx="157">
                  <c:v>69.670229175336701</c:v>
                </c:pt>
                <c:pt idx="158">
                  <c:v>70.089781629979214</c:v>
                </c:pt>
                <c:pt idx="159">
                  <c:v>71.617635625254721</c:v>
                </c:pt>
                <c:pt idx="160">
                  <c:v>68.481147625527015</c:v>
                </c:pt>
                <c:pt idx="161">
                  <c:v>71.550918783566473</c:v>
                </c:pt>
                <c:pt idx="162">
                  <c:v>72.386007154217353</c:v>
                </c:pt>
                <c:pt idx="163">
                  <c:v>73.961595508463247</c:v>
                </c:pt>
                <c:pt idx="164">
                  <c:v>72.591332972752269</c:v>
                </c:pt>
                <c:pt idx="165">
                  <c:v>71.567017535866242</c:v>
                </c:pt>
                <c:pt idx="166">
                  <c:v>68.853911742977374</c:v>
                </c:pt>
                <c:pt idx="167">
                  <c:v>71.033422878057607</c:v>
                </c:pt>
                <c:pt idx="168">
                  <c:v>72.268200805325165</c:v>
                </c:pt>
                <c:pt idx="169">
                  <c:v>71.330593336184407</c:v>
                </c:pt>
                <c:pt idx="170">
                  <c:v>72.805340357647566</c:v>
                </c:pt>
                <c:pt idx="171">
                  <c:v>73.946371407588032</c:v>
                </c:pt>
                <c:pt idx="172">
                  <c:v>75.090119325259067</c:v>
                </c:pt>
                <c:pt idx="173">
                  <c:v>75.685412603292761</c:v>
                </c:pt>
                <c:pt idx="174">
                  <c:v>73.817736767769006</c:v>
                </c:pt>
                <c:pt idx="175">
                  <c:v>76.848521645782512</c:v>
                </c:pt>
                <c:pt idx="176">
                  <c:v>77.318608983554682</c:v>
                </c:pt>
                <c:pt idx="177">
                  <c:v>76.693106421300286</c:v>
                </c:pt>
                <c:pt idx="178">
                  <c:v>75.692738098689759</c:v>
                </c:pt>
                <c:pt idx="179">
                  <c:v>74.198788836244546</c:v>
                </c:pt>
                <c:pt idx="180">
                  <c:v>73.668108058227673</c:v>
                </c:pt>
                <c:pt idx="181">
                  <c:v>74.379811266506834</c:v>
                </c:pt>
                <c:pt idx="182">
                  <c:v>74.382871081698894</c:v>
                </c:pt>
                <c:pt idx="183">
                  <c:v>74.447021955461167</c:v>
                </c:pt>
                <c:pt idx="184">
                  <c:v>75.971520727251672</c:v>
                </c:pt>
                <c:pt idx="185">
                  <c:v>77.165048979006428</c:v>
                </c:pt>
                <c:pt idx="186">
                  <c:v>77.07599366041984</c:v>
                </c:pt>
                <c:pt idx="187">
                  <c:v>78.56575763718854</c:v>
                </c:pt>
                <c:pt idx="188">
                  <c:v>78.543079100879751</c:v>
                </c:pt>
                <c:pt idx="189">
                  <c:v>77.113039342893515</c:v>
                </c:pt>
                <c:pt idx="190">
                  <c:v>79.074396395928218</c:v>
                </c:pt>
                <c:pt idx="191">
                  <c:v>78.099010287529694</c:v>
                </c:pt>
                <c:pt idx="192">
                  <c:v>77.444794110703072</c:v>
                </c:pt>
                <c:pt idx="193">
                  <c:v>80.808618887690542</c:v>
                </c:pt>
                <c:pt idx="194">
                  <c:v>81.391197549850588</c:v>
                </c:pt>
                <c:pt idx="195">
                  <c:v>79.70551277736142</c:v>
                </c:pt>
                <c:pt idx="196">
                  <c:v>79.418677831470646</c:v>
                </c:pt>
                <c:pt idx="197">
                  <c:v>79.71949174857609</c:v>
                </c:pt>
                <c:pt idx="198">
                  <c:v>80.298954886709353</c:v>
                </c:pt>
                <c:pt idx="199">
                  <c:v>79.729442002145632</c:v>
                </c:pt>
                <c:pt idx="200">
                  <c:v>79.954130000475857</c:v>
                </c:pt>
                <c:pt idx="201">
                  <c:v>79.936096547392339</c:v>
                </c:pt>
                <c:pt idx="202">
                  <c:v>81.242926585603442</c:v>
                </c:pt>
                <c:pt idx="203">
                  <c:v>79.302974789424312</c:v>
                </c:pt>
                <c:pt idx="204">
                  <c:v>79.484688293468324</c:v>
                </c:pt>
                <c:pt idx="205">
                  <c:v>77.774375228618567</c:v>
                </c:pt>
                <c:pt idx="206">
                  <c:v>76.406902529595556</c:v>
                </c:pt>
                <c:pt idx="207">
                  <c:v>79.460668378874203</c:v>
                </c:pt>
                <c:pt idx="208">
                  <c:v>81.066779778746607</c:v>
                </c:pt>
                <c:pt idx="209">
                  <c:v>81.434430358621668</c:v>
                </c:pt>
                <c:pt idx="210">
                  <c:v>81.138534629398677</c:v>
                </c:pt>
                <c:pt idx="211">
                  <c:v>82.301504773424</c:v>
                </c:pt>
                <c:pt idx="212">
                  <c:v>82.62405343832161</c:v>
                </c:pt>
                <c:pt idx="213">
                  <c:v>85.884508136822703</c:v>
                </c:pt>
                <c:pt idx="214">
                  <c:v>87.776834721234295</c:v>
                </c:pt>
                <c:pt idx="215">
                  <c:v>89.096820393841099</c:v>
                </c:pt>
                <c:pt idx="216">
                  <c:v>89.760862446188554</c:v>
                </c:pt>
                <c:pt idx="217">
                  <c:v>87.379547137560877</c:v>
                </c:pt>
                <c:pt idx="218">
                  <c:v>87.672714184369838</c:v>
                </c:pt>
                <c:pt idx="219">
                  <c:v>86.786635337863174</c:v>
                </c:pt>
                <c:pt idx="220">
                  <c:v>86.370128727608488</c:v>
                </c:pt>
                <c:pt idx="221">
                  <c:v>88.214044629040188</c:v>
                </c:pt>
                <c:pt idx="222">
                  <c:v>83.751323759140789</c:v>
                </c:pt>
                <c:pt idx="223">
                  <c:v>86.313022781944781</c:v>
                </c:pt>
                <c:pt idx="224">
                  <c:v>88.201377511796764</c:v>
                </c:pt>
                <c:pt idx="225">
                  <c:v>86.494374210655465</c:v>
                </c:pt>
                <c:pt idx="226">
                  <c:v>87.843048556081783</c:v>
                </c:pt>
                <c:pt idx="227">
                  <c:v>87.137255601612765</c:v>
                </c:pt>
                <c:pt idx="228">
                  <c:v>87.568470554984287</c:v>
                </c:pt>
                <c:pt idx="229">
                  <c:v>85.718342744985037</c:v>
                </c:pt>
                <c:pt idx="230">
                  <c:v>84.256557766301384</c:v>
                </c:pt>
                <c:pt idx="231">
                  <c:v>82.778650168751724</c:v>
                </c:pt>
                <c:pt idx="232">
                  <c:v>82.882530397039133</c:v>
                </c:pt>
                <c:pt idx="233">
                  <c:v>84.806766119214586</c:v>
                </c:pt>
                <c:pt idx="234">
                  <c:v>84.744348342655627</c:v>
                </c:pt>
                <c:pt idx="235">
                  <c:v>88.734306173704823</c:v>
                </c:pt>
                <c:pt idx="236">
                  <c:v>88.081499524603842</c:v>
                </c:pt>
                <c:pt idx="237">
                  <c:v>92.328976853659697</c:v>
                </c:pt>
                <c:pt idx="238">
                  <c:v>90.171614247088186</c:v>
                </c:pt>
                <c:pt idx="239">
                  <c:v>93.027297565477923</c:v>
                </c:pt>
                <c:pt idx="240">
                  <c:v>91.914844166427571</c:v>
                </c:pt>
                <c:pt idx="241">
                  <c:v>87.425838920102265</c:v>
                </c:pt>
                <c:pt idx="242">
                  <c:v>89.356669489325171</c:v>
                </c:pt>
                <c:pt idx="243">
                  <c:v>89.93243980966173</c:v>
                </c:pt>
                <c:pt idx="244">
                  <c:v>87.644521208861647</c:v>
                </c:pt>
                <c:pt idx="245">
                  <c:v>89.382832850349516</c:v>
                </c:pt>
                <c:pt idx="246">
                  <c:v>88.642198203562344</c:v>
                </c:pt>
                <c:pt idx="247">
                  <c:v>89.526915376691832</c:v>
                </c:pt>
                <c:pt idx="248">
                  <c:v>91.278875968565643</c:v>
                </c:pt>
                <c:pt idx="249">
                  <c:v>91.927396428094866</c:v>
                </c:pt>
                <c:pt idx="250">
                  <c:v>91.055381841995342</c:v>
                </c:pt>
                <c:pt idx="251">
                  <c:v>90.77940942929493</c:v>
                </c:pt>
                <c:pt idx="252">
                  <c:v>88.850170463116982</c:v>
                </c:pt>
                <c:pt idx="253">
                  <c:v>87.246634761604653</c:v>
                </c:pt>
                <c:pt idx="254">
                  <c:v>85.262710781944477</c:v>
                </c:pt>
                <c:pt idx="255">
                  <c:v>84.754611828374692</c:v>
                </c:pt>
                <c:pt idx="256">
                  <c:v>85.139296961551793</c:v>
                </c:pt>
                <c:pt idx="257">
                  <c:v>85.70700546239101</c:v>
                </c:pt>
                <c:pt idx="258">
                  <c:v>84.509931733882553</c:v>
                </c:pt>
                <c:pt idx="259">
                  <c:v>84.579854447573354</c:v>
                </c:pt>
                <c:pt idx="260">
                  <c:v>83.692361495582091</c:v>
                </c:pt>
                <c:pt idx="261">
                  <c:v>84.933835340634346</c:v>
                </c:pt>
                <c:pt idx="262">
                  <c:v>85.639374235362808</c:v>
                </c:pt>
                <c:pt idx="263">
                  <c:v>84.446234996199038</c:v>
                </c:pt>
                <c:pt idx="264">
                  <c:v>84.750757633176534</c:v>
                </c:pt>
                <c:pt idx="265">
                  <c:v>86.46112849319293</c:v>
                </c:pt>
                <c:pt idx="266">
                  <c:v>85.781137553473371</c:v>
                </c:pt>
                <c:pt idx="267">
                  <c:v>86.916873425143208</c:v>
                </c:pt>
                <c:pt idx="268">
                  <c:v>90.570844081578301</c:v>
                </c:pt>
                <c:pt idx="269">
                  <c:v>93.302318171900808</c:v>
                </c:pt>
                <c:pt idx="270">
                  <c:v>91.14575077027186</c:v>
                </c:pt>
                <c:pt idx="271">
                  <c:v>94.747666139656502</c:v>
                </c:pt>
                <c:pt idx="272">
                  <c:v>97.152363740293524</c:v>
                </c:pt>
                <c:pt idx="273">
                  <c:v>94.447462792490867</c:v>
                </c:pt>
                <c:pt idx="274">
                  <c:v>95.278371802320876</c:v>
                </c:pt>
                <c:pt idx="275">
                  <c:v>96.837054041356566</c:v>
                </c:pt>
                <c:pt idx="276">
                  <c:v>98.041374628779081</c:v>
                </c:pt>
                <c:pt idx="277">
                  <c:v>94.879829119987193</c:v>
                </c:pt>
                <c:pt idx="278">
                  <c:v>96.3352309802669</c:v>
                </c:pt>
                <c:pt idx="279">
                  <c:v>95.971903389214475</c:v>
                </c:pt>
                <c:pt idx="280">
                  <c:v>97.068574762761457</c:v>
                </c:pt>
                <c:pt idx="281">
                  <c:v>96.191082390408525</c:v>
                </c:pt>
                <c:pt idx="282">
                  <c:v>100.01421790468576</c:v>
                </c:pt>
                <c:pt idx="283">
                  <c:v>101.37587871439129</c:v>
                </c:pt>
                <c:pt idx="284">
                  <c:v>103.59901794358682</c:v>
                </c:pt>
                <c:pt idx="285">
                  <c:v>102.04699943059187</c:v>
                </c:pt>
                <c:pt idx="286">
                  <c:v>104.78901230334871</c:v>
                </c:pt>
                <c:pt idx="287">
                  <c:v>102.64841855334815</c:v>
                </c:pt>
                <c:pt idx="288">
                  <c:v>106.85269578110082</c:v>
                </c:pt>
                <c:pt idx="289">
                  <c:v>109.20941514643684</c:v>
                </c:pt>
                <c:pt idx="290">
                  <c:v>112.24229496817594</c:v>
                </c:pt>
                <c:pt idx="291">
                  <c:v>111.15329067107568</c:v>
                </c:pt>
                <c:pt idx="292">
                  <c:v>114.75025448637398</c:v>
                </c:pt>
                <c:pt idx="293">
                  <c:v>113.74818020876309</c:v>
                </c:pt>
                <c:pt idx="294">
                  <c:v>111.38362377517957</c:v>
                </c:pt>
                <c:pt idx="295">
                  <c:v>113.78873320801159</c:v>
                </c:pt>
                <c:pt idx="296">
                  <c:v>110.94870368105998</c:v>
                </c:pt>
                <c:pt idx="297">
                  <c:v>116.29522731778677</c:v>
                </c:pt>
                <c:pt idx="298">
                  <c:v>118.88865519038552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A-F841-AA30-BF0F78312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615936"/>
        <c:axId val="84617472"/>
      </c:lineChart>
      <c:catAx>
        <c:axId val="84615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17472"/>
        <c:crosses val="autoZero"/>
        <c:auto val="1"/>
        <c:lblAlgn val="ctr"/>
        <c:lblOffset val="100"/>
        <c:noMultiLvlLbl val="0"/>
      </c:catAx>
      <c:valAx>
        <c:axId val="8461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1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Correlated Asset Price</a:t>
            </a:r>
            <a:r>
              <a:rPr lang="en-US" baseline="0"/>
              <a:t> Trajectories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'Price Trajectory'!$A$1</c:f>
              <c:strCache>
                <c:ptCount val="1"/>
                <c:pt idx="0">
                  <c:v>Asset A</c:v>
                </c:pt>
              </c:strCache>
            </c:strRef>
          </c:tx>
          <c:spPr>
            <a:ln w="38100"/>
          </c:spPr>
          <c:marker>
            <c:symbol val="none"/>
          </c:marker>
          <c:val>
            <c:numRef>
              <c:f>'Price Trajectory'!$A$2:$A$10</c:f>
              <c:numCache>
                <c:formatCode>General</c:formatCode>
                <c:ptCount val="9"/>
                <c:pt idx="0">
                  <c:v>100</c:v>
                </c:pt>
                <c:pt idx="1">
                  <c:v>103.02143455405701</c:v>
                </c:pt>
                <c:pt idx="2">
                  <c:v>103.51308442861395</c:v>
                </c:pt>
                <c:pt idx="3">
                  <c:v>104.67448677722872</c:v>
                </c:pt>
                <c:pt idx="4">
                  <c:v>101.55920317610789</c:v>
                </c:pt>
                <c:pt idx="5">
                  <c:v>98.730350509821577</c:v>
                </c:pt>
                <c:pt idx="6">
                  <c:v>102.9133533025505</c:v>
                </c:pt>
                <c:pt idx="7">
                  <c:v>91.261663272503938</c:v>
                </c:pt>
                <c:pt idx="8">
                  <c:v>94.889290189565571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'Price Trajectory'!$B$1</c:f>
              <c:strCache>
                <c:ptCount val="1"/>
                <c:pt idx="0">
                  <c:v>Asset B</c:v>
                </c:pt>
              </c:strCache>
            </c:strRef>
          </c:tx>
          <c:spPr>
            <a:ln w="38100"/>
          </c:spPr>
          <c:marker>
            <c:symbol val="none"/>
          </c:marker>
          <c:val>
            <c:numRef>
              <c:f>'Price Trajectory'!$B$2:$B$10</c:f>
              <c:numCache>
                <c:formatCode>General</c:formatCode>
                <c:ptCount val="9"/>
                <c:pt idx="0">
                  <c:v>90</c:v>
                </c:pt>
                <c:pt idx="1">
                  <c:v>94.840373337582605</c:v>
                </c:pt>
                <c:pt idx="2">
                  <c:v>99.829821231439212</c:v>
                </c:pt>
                <c:pt idx="3">
                  <c:v>101.08673067095125</c:v>
                </c:pt>
                <c:pt idx="4">
                  <c:v>114.05026419066098</c:v>
                </c:pt>
                <c:pt idx="5">
                  <c:v>122.80143022093461</c:v>
                </c:pt>
                <c:pt idx="6">
                  <c:v>117.88381631575659</c:v>
                </c:pt>
                <c:pt idx="7">
                  <c:v>121.24607224660248</c:v>
                </c:pt>
                <c:pt idx="8">
                  <c:v>135.70466256017505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'Price Trajectory'!$C$1</c:f>
              <c:strCache>
                <c:ptCount val="1"/>
                <c:pt idx="0">
                  <c:v>Asset C</c:v>
                </c:pt>
              </c:strCache>
            </c:strRef>
          </c:tx>
          <c:spPr>
            <a:ln w="38100"/>
          </c:spPr>
          <c:marker>
            <c:symbol val="none"/>
          </c:marker>
          <c:val>
            <c:numRef>
              <c:f>'Price Trajectory'!$C$2:$C$10</c:f>
              <c:numCache>
                <c:formatCode>General</c:formatCode>
                <c:ptCount val="9"/>
                <c:pt idx="0">
                  <c:v>80</c:v>
                </c:pt>
                <c:pt idx="1">
                  <c:v>79.023119840074543</c:v>
                </c:pt>
                <c:pt idx="2">
                  <c:v>78.087773668853245</c:v>
                </c:pt>
                <c:pt idx="3">
                  <c:v>80.539533950556674</c:v>
                </c:pt>
                <c:pt idx="4">
                  <c:v>78.590016894683302</c:v>
                </c:pt>
                <c:pt idx="5">
                  <c:v>80.081871181495174</c:v>
                </c:pt>
                <c:pt idx="6">
                  <c:v>76.598811410467817</c:v>
                </c:pt>
                <c:pt idx="7">
                  <c:v>72.955814228127451</c:v>
                </c:pt>
                <c:pt idx="8">
                  <c:v>73.814108177470558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14304"/>
        <c:axId val="75315840"/>
      </c:lineChart>
      <c:catAx>
        <c:axId val="75314304"/>
        <c:scaling>
          <c:orientation val="minMax"/>
        </c:scaling>
        <c:delete val="0"/>
        <c:axPos val="b"/>
        <c:majorTickMark val="out"/>
        <c:minorTickMark val="none"/>
        <c:tickLblPos val="nextTo"/>
        <c:crossAx val="75315840"/>
        <c:crosses val="autoZero"/>
        <c:auto val="1"/>
        <c:lblAlgn val="ctr"/>
        <c:lblOffset val="100"/>
        <c:noMultiLvlLbl val="0"/>
      </c:catAx>
      <c:valAx>
        <c:axId val="7531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7531430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3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1</xdr:row>
      <xdr:rowOff>19049</xdr:rowOff>
    </xdr:from>
    <xdr:to>
      <xdr:col>3</xdr:col>
      <xdr:colOff>571500</xdr:colOff>
      <xdr:row>4</xdr:row>
      <xdr:rowOff>59054</xdr:rowOff>
    </xdr:to>
    <xdr:sp macro="[0]!MainValuatio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800100" y="219074"/>
          <a:ext cx="1828800" cy="640080"/>
        </a:xfrm>
        <a:prstGeom prst="rect">
          <a:avLst/>
        </a:prstGeom>
        <a:gradFill>
          <a:gsLst>
            <a:gs pos="0">
              <a:srgbClr val="FFDB98"/>
            </a:gs>
            <a:gs pos="44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alpha val="92000"/>
              </a:schemeClr>
            </a:gs>
          </a:gsLst>
        </a:gradFill>
        <a:ln>
          <a:solidFill>
            <a:schemeClr val="accent4">
              <a:lumMod val="50000"/>
            </a:schemeClr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800" b="1" cap="none" spc="0">
              <a:ln w="12700">
                <a:solidFill>
                  <a:schemeClr val="accent4">
                    <a:lumMod val="50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Price</a:t>
          </a:r>
          <a:r>
            <a:rPr lang="en-US" sz="1800" b="1" cap="none" spc="0" baseline="0">
              <a:ln w="12700">
                <a:solidFill>
                  <a:schemeClr val="accent4">
                    <a:lumMod val="50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an Option</a:t>
          </a:r>
          <a:endParaRPr lang="en-US" sz="1800" b="1" cap="none" spc="0">
            <a:ln w="12700">
              <a:solidFill>
                <a:schemeClr val="accent4">
                  <a:lumMod val="50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114300</xdr:colOff>
      <xdr:row>5</xdr:row>
      <xdr:rowOff>95249</xdr:rowOff>
    </xdr:from>
    <xdr:to>
      <xdr:col>3</xdr:col>
      <xdr:colOff>571500</xdr:colOff>
      <xdr:row>8</xdr:row>
      <xdr:rowOff>135254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800100" y="1095374"/>
          <a:ext cx="1828800" cy="640080"/>
        </a:xfrm>
        <a:prstGeom prst="rect">
          <a:avLst/>
        </a:prstGeom>
        <a:gradFill>
          <a:gsLst>
            <a:gs pos="5000">
              <a:schemeClr val="accent1">
                <a:lumMod val="40000"/>
                <a:lumOff val="60000"/>
              </a:schemeClr>
            </a:gs>
            <a:gs pos="48000">
              <a:schemeClr val="accent1">
                <a:lumMod val="60000"/>
                <a:lumOff val="40000"/>
              </a:schemeClr>
            </a:gs>
            <a:gs pos="99000">
              <a:schemeClr val="accent5"/>
            </a:gs>
          </a:gsLst>
        </a:gradFill>
        <a:ln>
          <a:solidFill>
            <a:schemeClr val="accent4">
              <a:lumMod val="50000"/>
            </a:schemeClr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Time-Series Correlation</a:t>
          </a:r>
          <a:endParaRPr lang="en-US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32</xdr:row>
      <xdr:rowOff>174625</xdr:rowOff>
    </xdr:from>
    <xdr:to>
      <xdr:col>7</xdr:col>
      <xdr:colOff>496451</xdr:colOff>
      <xdr:row>53</xdr:row>
      <xdr:rowOff>123631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302625"/>
          <a:ext cx="8862576" cy="5283006"/>
        </a:xfrm>
        <a:prstGeom prst="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158750</xdr:colOff>
      <xdr:row>4</xdr:row>
      <xdr:rowOff>111125</xdr:rowOff>
    </xdr:from>
    <xdr:to>
      <xdr:col>10</xdr:col>
      <xdr:colOff>294364</xdr:colOff>
      <xdr:row>23</xdr:row>
      <xdr:rowOff>266048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750" y="936625"/>
          <a:ext cx="7295239" cy="5219048"/>
        </a:xfrm>
        <a:prstGeom prst="rect">
          <a:avLst/>
        </a:prstGeom>
        <a:ln>
          <a:solidFill>
            <a:schemeClr val="accent4">
              <a:lumMod val="75000"/>
            </a:schemeClr>
          </a:solidFill>
        </a:ln>
      </xdr:spPr>
    </xdr:pic>
    <xdr:clientData/>
  </xdr:twoCellAnchor>
  <xdr:twoCellAnchor editAs="oneCell">
    <xdr:from>
      <xdr:col>11</xdr:col>
      <xdr:colOff>619125</xdr:colOff>
      <xdr:row>18</xdr:row>
      <xdr:rowOff>190500</xdr:rowOff>
    </xdr:from>
    <xdr:to>
      <xdr:col>13</xdr:col>
      <xdr:colOff>676489</xdr:colOff>
      <xdr:row>23</xdr:row>
      <xdr:rowOff>95416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0" y="4857750"/>
          <a:ext cx="1533739" cy="1190791"/>
        </a:xfrm>
        <a:prstGeom prst="rect">
          <a:avLst/>
        </a:prstGeom>
        <a:ln>
          <a:solidFill>
            <a:schemeClr val="accent6">
              <a:lumMod val="50000"/>
            </a:schemeClr>
          </a:solidFill>
        </a:ln>
      </xdr:spPr>
    </xdr:pic>
    <xdr:clientData/>
  </xdr:twoCellAnchor>
  <xdr:twoCellAnchor editAs="oneCell">
    <xdr:from>
      <xdr:col>8</xdr:col>
      <xdr:colOff>254000</xdr:colOff>
      <xdr:row>25</xdr:row>
      <xdr:rowOff>63500</xdr:rowOff>
    </xdr:from>
    <xdr:to>
      <xdr:col>10</xdr:col>
      <xdr:colOff>521609</xdr:colOff>
      <xdr:row>28</xdr:row>
      <xdr:rowOff>168275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48375" y="6556375"/>
          <a:ext cx="1632859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503464</xdr:colOff>
      <xdr:row>1</xdr:row>
      <xdr:rowOff>95250</xdr:rowOff>
    </xdr:from>
    <xdr:to>
      <xdr:col>14</xdr:col>
      <xdr:colOff>521397</xdr:colOff>
      <xdr:row>27</xdr:row>
      <xdr:rowOff>71470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3821" y="299357"/>
          <a:ext cx="8862576" cy="5283006"/>
        </a:xfrm>
        <a:prstGeom prst="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183696</xdr:colOff>
      <xdr:row>1</xdr:row>
      <xdr:rowOff>16328</xdr:rowOff>
    </xdr:from>
    <xdr:to>
      <xdr:col>10</xdr:col>
      <xdr:colOff>469446</xdr:colOff>
      <xdr:row>15</xdr:row>
      <xdr:rowOff>92528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23814</xdr:colOff>
      <xdr:row>2</xdr:row>
      <xdr:rowOff>39290</xdr:rowOff>
    </xdr:from>
    <xdr:to>
      <xdr:col>26</xdr:col>
      <xdr:colOff>345282</xdr:colOff>
      <xdr:row>16</xdr:row>
      <xdr:rowOff>115490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26162" cy="62650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0"/>
  <sheetViews>
    <sheetView showGridLines="0" zoomScale="90" zoomScaleNormal="90" workbookViewId="0">
      <selection activeCell="A2" sqref="A2"/>
    </sheetView>
  </sheetViews>
  <sheetFormatPr defaultColWidth="0" defaultRowHeight="15.75" zeroHeight="1"/>
  <cols>
    <col min="1" max="5" width="9" customWidth="1"/>
    <col min="6" max="6" width="9" hidden="1" customWidth="1"/>
    <col min="7" max="16384" width="9" hidden="1"/>
  </cols>
  <sheetData>
    <row r="1"/>
    <row r="2"/>
    <row r="3"/>
    <row r="4"/>
    <row r="5"/>
    <row r="6"/>
    <row r="7"/>
    <row r="8"/>
    <row r="9"/>
    <row r="10"/>
    <row r="11" hidden="1"/>
    <row r="12" hidden="1"/>
    <row r="13" hidden="1"/>
    <row r="14" hidden="1"/>
    <row r="15" hidden="1"/>
    <row r="16" hidden="1"/>
    <row r="17" hidden="1"/>
    <row r="18" hidden="1"/>
    <row r="19" hidden="1"/>
    <row r="20" hidden="1"/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H28"/>
  <sheetViews>
    <sheetView zoomScale="70" zoomScaleNormal="70" workbookViewId="0">
      <selection activeCell="A31" sqref="A31"/>
    </sheetView>
  </sheetViews>
  <sheetFormatPr defaultColWidth="10.875" defaultRowHeight="15"/>
  <cols>
    <col min="1" max="1" width="29.375" style="1" bestFit="1" customWidth="1"/>
    <col min="2" max="2" width="8.75" style="1" bestFit="1" customWidth="1"/>
    <col min="3" max="3" width="11.75" style="1" bestFit="1" customWidth="1"/>
    <col min="4" max="4" width="13.75" style="1" bestFit="1" customWidth="1"/>
    <col min="5" max="5" width="20.5" style="1" customWidth="1"/>
    <col min="6" max="6" width="13.625" style="1" bestFit="1" customWidth="1"/>
    <col min="7" max="7" width="12.125" style="1" bestFit="1" customWidth="1"/>
    <col min="8" max="8" width="9.375" style="1" bestFit="1" customWidth="1"/>
    <col min="9" max="9" width="8.875" style="1" bestFit="1" customWidth="1"/>
    <col min="10" max="16384" width="10.875" style="1"/>
  </cols>
  <sheetData>
    <row r="1" spans="1:6" ht="15.75">
      <c r="A1" s="2" t="s">
        <v>0</v>
      </c>
      <c r="B1" s="3"/>
      <c r="C1" s="3"/>
      <c r="D1" s="4"/>
    </row>
    <row r="2" spans="1:6" ht="20.25">
      <c r="A2" s="5" t="s">
        <v>10</v>
      </c>
      <c r="B2" s="93" t="s">
        <v>240</v>
      </c>
      <c r="C2" s="93" t="s">
        <v>241</v>
      </c>
      <c r="D2" s="94" t="s">
        <v>242</v>
      </c>
      <c r="F2" s="35" t="s">
        <v>243</v>
      </c>
    </row>
    <row r="3" spans="1:6">
      <c r="A3" s="5" t="s">
        <v>5</v>
      </c>
      <c r="B3" s="6">
        <v>200</v>
      </c>
      <c r="C3" s="6">
        <v>100</v>
      </c>
      <c r="D3" s="7">
        <v>50</v>
      </c>
    </row>
    <row r="4" spans="1:6">
      <c r="A4" s="5" t="s">
        <v>1</v>
      </c>
      <c r="B4" s="6">
        <v>1</v>
      </c>
      <c r="C4" s="83"/>
      <c r="D4" s="84"/>
      <c r="F4" s="33"/>
    </row>
    <row r="5" spans="1:6">
      <c r="A5" s="5" t="s">
        <v>2</v>
      </c>
      <c r="B5" s="6">
        <v>50</v>
      </c>
      <c r="C5" s="83"/>
      <c r="D5" s="84"/>
    </row>
    <row r="6" spans="1:6">
      <c r="A6" s="5" t="s">
        <v>3</v>
      </c>
      <c r="B6" s="6">
        <v>0.3</v>
      </c>
      <c r="C6" s="6">
        <v>0.1</v>
      </c>
      <c r="D6" s="7">
        <v>0.2</v>
      </c>
    </row>
    <row r="7" spans="1:6">
      <c r="A7" s="5" t="s">
        <v>4</v>
      </c>
      <c r="B7" s="6">
        <v>0.05</v>
      </c>
      <c r="C7" s="83"/>
      <c r="D7" s="84"/>
    </row>
    <row r="8" spans="1:6">
      <c r="A8" s="5" t="s">
        <v>6</v>
      </c>
      <c r="B8" s="6">
        <v>1</v>
      </c>
      <c r="C8" s="6">
        <v>1</v>
      </c>
      <c r="D8" s="7">
        <v>1</v>
      </c>
    </row>
    <row r="9" spans="1:6">
      <c r="A9" s="8"/>
      <c r="B9" s="21" t="s">
        <v>7</v>
      </c>
      <c r="C9" s="21" t="s">
        <v>9</v>
      </c>
      <c r="D9" s="22" t="s">
        <v>8</v>
      </c>
    </row>
    <row r="12" spans="1:6" ht="15.75">
      <c r="A12" s="10" t="s">
        <v>11</v>
      </c>
      <c r="B12" s="11"/>
      <c r="C12" s="11"/>
      <c r="D12" s="12"/>
    </row>
    <row r="13" spans="1:6">
      <c r="A13" s="5" t="s">
        <v>12</v>
      </c>
      <c r="B13" s="6" t="b">
        <v>1</v>
      </c>
      <c r="C13" s="6"/>
      <c r="D13" s="18"/>
    </row>
    <row r="14" spans="1:6">
      <c r="A14" s="5" t="s">
        <v>88</v>
      </c>
      <c r="B14" s="6"/>
      <c r="C14" s="6" t="b">
        <v>1</v>
      </c>
      <c r="D14" s="18"/>
    </row>
    <row r="15" spans="1:6">
      <c r="A15" s="5" t="s">
        <v>13</v>
      </c>
      <c r="B15" s="6" t="b">
        <v>1</v>
      </c>
      <c r="C15" s="6"/>
      <c r="D15" s="7"/>
    </row>
    <row r="16" spans="1:6">
      <c r="A16" s="8"/>
      <c r="B16" s="15" t="s">
        <v>14</v>
      </c>
      <c r="C16" s="15" t="s">
        <v>15</v>
      </c>
      <c r="D16" s="16" t="s">
        <v>16</v>
      </c>
    </row>
    <row r="17" spans="1:8">
      <c r="A17" s="5" t="s">
        <v>17</v>
      </c>
      <c r="B17" s="6">
        <v>120</v>
      </c>
      <c r="C17" s="17"/>
      <c r="D17" s="18"/>
    </row>
    <row r="18" spans="1:8">
      <c r="A18" s="1" t="s">
        <v>33</v>
      </c>
      <c r="B18" s="1">
        <v>120</v>
      </c>
      <c r="C18" s="17"/>
      <c r="D18" s="18"/>
    </row>
    <row r="19" spans="1:8">
      <c r="A19" s="5" t="s">
        <v>3</v>
      </c>
      <c r="B19" s="6">
        <v>0.05</v>
      </c>
      <c r="C19" s="17"/>
      <c r="D19" s="18"/>
    </row>
    <row r="20" spans="1:8">
      <c r="A20" s="5" t="s">
        <v>18</v>
      </c>
      <c r="B20" s="6">
        <v>0.01</v>
      </c>
      <c r="C20" s="17"/>
      <c r="D20" s="18"/>
    </row>
    <row r="21" spans="1:8">
      <c r="A21" s="5" t="s">
        <v>19</v>
      </c>
      <c r="B21" s="6" t="s">
        <v>86</v>
      </c>
      <c r="C21" s="17"/>
      <c r="D21" s="18"/>
    </row>
    <row r="22" spans="1:8">
      <c r="A22" s="5" t="s">
        <v>87</v>
      </c>
      <c r="B22" s="31">
        <v>0.9</v>
      </c>
      <c r="C22" s="17"/>
      <c r="D22" s="18"/>
    </row>
    <row r="23" spans="1:8">
      <c r="A23" s="8" t="s">
        <v>2</v>
      </c>
      <c r="B23" s="9">
        <v>1</v>
      </c>
      <c r="C23" s="19"/>
      <c r="D23" s="20"/>
      <c r="E23" s="33"/>
    </row>
    <row r="28" spans="1:8" ht="15.75">
      <c r="A28" s="1" t="s">
        <v>93</v>
      </c>
      <c r="H28" s="32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22"/>
  <sheetViews>
    <sheetView zoomScale="70" zoomScaleNormal="70" workbookViewId="0"/>
  </sheetViews>
  <sheetFormatPr defaultColWidth="8.875" defaultRowHeight="15.75"/>
  <cols>
    <col min="12" max="12" width="8.875" customWidth="1"/>
  </cols>
  <sheetData>
    <row r="2" spans="2:6">
      <c r="B2" t="s">
        <v>23</v>
      </c>
      <c r="C2" t="s">
        <v>24</v>
      </c>
      <c r="D2" t="s">
        <v>25</v>
      </c>
      <c r="E2">
        <f>EXP(0.3*0.5)</f>
        <v>1.1618342427282831</v>
      </c>
      <c r="F2">
        <f>SQRT(0.25)</f>
        <v>0.5</v>
      </c>
    </row>
    <row r="3" spans="2:6">
      <c r="B3" t="s">
        <v>23</v>
      </c>
      <c r="C3" t="s">
        <v>26</v>
      </c>
      <c r="D3" t="s">
        <v>27</v>
      </c>
      <c r="E3">
        <f>EXP(-0.3*0.5)</f>
        <v>0.86070797642505781</v>
      </c>
    </row>
    <row r="5" spans="2:6">
      <c r="B5" t="s">
        <v>28</v>
      </c>
    </row>
    <row r="7" spans="2:6">
      <c r="B7" t="s">
        <v>29</v>
      </c>
    </row>
    <row r="8" spans="2:6">
      <c r="B8" t="s">
        <v>30</v>
      </c>
    </row>
    <row r="9" spans="2:6">
      <c r="B9" t="s">
        <v>31</v>
      </c>
    </row>
    <row r="10" spans="2:6">
      <c r="B10" t="s">
        <v>32</v>
      </c>
    </row>
    <row r="12" spans="2:6">
      <c r="B12" t="s">
        <v>43</v>
      </c>
    </row>
    <row r="13" spans="2:6">
      <c r="B13" t="s">
        <v>44</v>
      </c>
    </row>
    <row r="14" spans="2:6">
      <c r="B14" t="s">
        <v>34</v>
      </c>
    </row>
    <row r="15" spans="2:6">
      <c r="B15" t="s">
        <v>35</v>
      </c>
    </row>
    <row r="16" spans="2:6">
      <c r="C16" t="s">
        <v>36</v>
      </c>
    </row>
    <row r="17" spans="2:4">
      <c r="B17" t="s">
        <v>37</v>
      </c>
    </row>
    <row r="18" spans="2:4">
      <c r="C18" t="s">
        <v>38</v>
      </c>
    </row>
    <row r="19" spans="2:4">
      <c r="B19" t="s">
        <v>39</v>
      </c>
    </row>
    <row r="20" spans="2:4">
      <c r="C20" t="s">
        <v>40</v>
      </c>
    </row>
    <row r="21" spans="2:4">
      <c r="C21" t="s">
        <v>41</v>
      </c>
    </row>
    <row r="22" spans="2:4">
      <c r="D22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249977111117893"/>
  </sheetPr>
  <dimension ref="B2:I32"/>
  <sheetViews>
    <sheetView zoomScale="60" zoomScaleNormal="60" workbookViewId="0">
      <selection activeCell="H5" sqref="H5"/>
    </sheetView>
  </sheetViews>
  <sheetFormatPr defaultColWidth="10.875" defaultRowHeight="20.25"/>
  <cols>
    <col min="1" max="1" width="3.125" style="35" customWidth="1"/>
    <col min="2" max="2" width="27.625" style="35" bestFit="1" customWidth="1"/>
    <col min="3" max="3" width="16.125" style="35" bestFit="1" customWidth="1"/>
    <col min="4" max="4" width="4" style="35" customWidth="1"/>
    <col min="5" max="5" width="25.375" style="35" bestFit="1" customWidth="1"/>
    <col min="6" max="6" width="13.625" style="35" bestFit="1" customWidth="1"/>
    <col min="7" max="7" width="19.625" style="35" bestFit="1" customWidth="1"/>
    <col min="8" max="8" width="18.125" style="35" bestFit="1" customWidth="1"/>
    <col min="9" max="9" width="12.375" style="35" bestFit="1" customWidth="1"/>
    <col min="10" max="10" width="8.875" style="35" bestFit="1" customWidth="1"/>
    <col min="11" max="16384" width="10.875" style="35"/>
  </cols>
  <sheetData>
    <row r="2" spans="2:9" s="45" customFormat="1">
      <c r="B2" s="46" t="s">
        <v>11</v>
      </c>
      <c r="C2" s="47" t="s">
        <v>98</v>
      </c>
      <c r="E2" s="48" t="s">
        <v>11</v>
      </c>
      <c r="F2" s="48" t="s">
        <v>99</v>
      </c>
      <c r="G2" s="49"/>
      <c r="H2" s="49"/>
      <c r="I2" s="49"/>
    </row>
    <row r="3" spans="2:9">
      <c r="B3" s="37" t="s">
        <v>17</v>
      </c>
      <c r="C3" s="38">
        <v>120</v>
      </c>
      <c r="E3" s="38"/>
      <c r="F3" s="34" t="s">
        <v>14</v>
      </c>
      <c r="H3" s="36" t="s">
        <v>16</v>
      </c>
    </row>
    <row r="4" spans="2:9">
      <c r="B4" s="39" t="s">
        <v>33</v>
      </c>
      <c r="C4" s="38">
        <v>120</v>
      </c>
      <c r="E4" s="43"/>
      <c r="F4" s="35" t="s">
        <v>96</v>
      </c>
      <c r="G4" s="35" t="s">
        <v>97</v>
      </c>
      <c r="H4" s="35" t="s">
        <v>96</v>
      </c>
      <c r="I4" s="35" t="s">
        <v>97</v>
      </c>
    </row>
    <row r="5" spans="2:9">
      <c r="B5" s="39" t="s">
        <v>3</v>
      </c>
      <c r="C5" s="38">
        <v>0.05</v>
      </c>
      <c r="E5" s="50" t="s">
        <v>100</v>
      </c>
      <c r="F5" s="40" t="e">
        <f t="array" ref="F5:F9">BinomialOption(C3,C4,C5,C6,C7,C8)</f>
        <v>#VALUE!</v>
      </c>
      <c r="G5" s="35" t="e">
        <f t="array" ref="G5:G9">BinomialOption(C3,C4,C5,C6,C7,C8,"put")</f>
        <v>#VALUE!</v>
      </c>
      <c r="H5" s="35" t="e">
        <f>BlackScholes(C3,C4,C5,C6,C7)</f>
        <v>#VALUE!</v>
      </c>
      <c r="I5" s="35" t="e">
        <f>BlackScholes(C3,C4,C5,C6,C7,"put")</f>
        <v>#VALUE!</v>
      </c>
    </row>
    <row r="6" spans="2:9">
      <c r="B6" s="39" t="s">
        <v>18</v>
      </c>
      <c r="C6" s="38">
        <v>0.01</v>
      </c>
      <c r="E6" s="35" t="s">
        <v>79</v>
      </c>
      <c r="F6" s="35" t="e">
        <v>#VALUE!</v>
      </c>
      <c r="G6" s="35" t="e">
        <v>#VALUE!</v>
      </c>
    </row>
    <row r="7" spans="2:9">
      <c r="B7" s="39" t="s">
        <v>87</v>
      </c>
      <c r="C7" s="41">
        <v>1</v>
      </c>
      <c r="E7" s="35" t="s">
        <v>80</v>
      </c>
      <c r="F7" s="35" t="e">
        <v>#VALUE!</v>
      </c>
      <c r="G7" s="35" t="e">
        <v>#VALUE!</v>
      </c>
    </row>
    <row r="8" spans="2:9">
      <c r="B8" s="39" t="s">
        <v>2</v>
      </c>
      <c r="C8" s="38">
        <v>1</v>
      </c>
      <c r="E8" s="35" t="s">
        <v>94</v>
      </c>
      <c r="F8" s="35" t="e">
        <v>#VALUE!</v>
      </c>
      <c r="G8" s="35" t="e">
        <v>#VALUE!</v>
      </c>
    </row>
    <row r="9" spans="2:9">
      <c r="B9" s="42"/>
      <c r="C9" s="43"/>
      <c r="E9" s="35" t="s">
        <v>95</v>
      </c>
      <c r="F9" s="35" t="e">
        <v>#VALUE!</v>
      </c>
      <c r="G9" s="35" t="e">
        <v>#VALUE!</v>
      </c>
    </row>
    <row r="10" spans="2:9">
      <c r="B10" s="44"/>
      <c r="C10" s="44"/>
    </row>
    <row r="11" spans="2:9">
      <c r="B11" s="44"/>
      <c r="C11" s="44"/>
      <c r="G11" s="35" t="s">
        <v>158</v>
      </c>
      <c r="H11" s="35">
        <f>LN(C3/C4)</f>
        <v>0</v>
      </c>
    </row>
    <row r="12" spans="2:9">
      <c r="B12" s="44"/>
      <c r="C12" s="44"/>
      <c r="G12" s="35" t="s">
        <v>159</v>
      </c>
      <c r="H12" s="35">
        <f>(C5^2)*0.5</f>
        <v>1.2500000000000002E-3</v>
      </c>
    </row>
    <row r="13" spans="2:9">
      <c r="B13" s="44"/>
      <c r="C13" s="44"/>
      <c r="G13" s="35" t="s">
        <v>160</v>
      </c>
      <c r="H13" s="35">
        <f>C6+H12</f>
        <v>1.125E-2</v>
      </c>
    </row>
    <row r="14" spans="2:9">
      <c r="B14" s="44"/>
      <c r="C14" s="44"/>
      <c r="G14" s="35" t="s">
        <v>161</v>
      </c>
      <c r="H14" s="35">
        <f>H13*C7</f>
        <v>1.125E-2</v>
      </c>
    </row>
    <row r="15" spans="2:9">
      <c r="B15" s="44"/>
      <c r="C15" s="44"/>
      <c r="G15" s="35" t="s">
        <v>162</v>
      </c>
      <c r="H15" s="35">
        <f>H11+H14</f>
        <v>1.125E-2</v>
      </c>
    </row>
    <row r="16" spans="2:9">
      <c r="B16" s="44"/>
      <c r="C16" s="44"/>
      <c r="G16" s="35" t="s">
        <v>163</v>
      </c>
      <c r="H16" s="35">
        <f>C5*SQRT(C7)</f>
        <v>0.05</v>
      </c>
    </row>
    <row r="17" spans="2:8">
      <c r="B17" s="44"/>
      <c r="C17" s="44"/>
      <c r="F17" s="35" t="s">
        <v>165</v>
      </c>
      <c r="G17" s="35" t="s">
        <v>164</v>
      </c>
      <c r="H17" s="35">
        <f>H15/H16</f>
        <v>0.22499999999999998</v>
      </c>
    </row>
    <row r="18" spans="2:8">
      <c r="B18" s="44"/>
      <c r="C18" s="44"/>
      <c r="F18" s="35" t="s">
        <v>166</v>
      </c>
      <c r="G18" s="35" t="s">
        <v>167</v>
      </c>
      <c r="H18" s="35">
        <f>H17-H16</f>
        <v>0.17499999999999999</v>
      </c>
    </row>
    <row r="19" spans="2:8">
      <c r="B19" s="44"/>
      <c r="C19" s="44"/>
      <c r="G19" s="35" t="s">
        <v>168</v>
      </c>
      <c r="H19" s="35">
        <f>NORMSDIST(H17)</f>
        <v>0.58901036286872965</v>
      </c>
    </row>
    <row r="20" spans="2:8">
      <c r="B20" s="44"/>
      <c r="C20" s="44"/>
      <c r="F20" s="35" t="s">
        <v>170</v>
      </c>
      <c r="G20" s="35" t="s">
        <v>172</v>
      </c>
      <c r="H20" s="35">
        <f>NORMSDIST(-H17)</f>
        <v>0.41098963713127035</v>
      </c>
    </row>
    <row r="21" spans="2:8">
      <c r="B21" s="44"/>
      <c r="C21" s="44"/>
      <c r="G21" s="35" t="s">
        <v>169</v>
      </c>
      <c r="H21" s="35">
        <f>NORMSDIST(H18)</f>
        <v>0.56946018320767366</v>
      </c>
    </row>
    <row r="22" spans="2:8">
      <c r="B22" s="44"/>
      <c r="C22" s="44"/>
      <c r="F22" s="35" t="s">
        <v>171</v>
      </c>
      <c r="G22" s="35" t="s">
        <v>173</v>
      </c>
      <c r="H22" s="35">
        <f>NORMSDIST(-H18)</f>
        <v>0.43053981679232634</v>
      </c>
    </row>
    <row r="23" spans="2:8">
      <c r="B23" s="44"/>
      <c r="C23" s="44"/>
      <c r="E23" s="40"/>
    </row>
    <row r="24" spans="2:8">
      <c r="B24" s="44"/>
      <c r="C24" s="44"/>
      <c r="G24" s="35" t="s">
        <v>174</v>
      </c>
      <c r="H24" s="35">
        <f>C4*H19</f>
        <v>70.681243544247565</v>
      </c>
    </row>
    <row r="25" spans="2:8">
      <c r="B25" s="44"/>
      <c r="C25" s="44"/>
      <c r="G25" s="35" t="s">
        <v>175</v>
      </c>
      <c r="H25" s="35">
        <f>EXP(-C6*C7)</f>
        <v>0.99004983374916811</v>
      </c>
    </row>
    <row r="26" spans="2:8">
      <c r="B26" s="44"/>
      <c r="C26" s="44"/>
      <c r="G26" s="35" t="s">
        <v>176</v>
      </c>
      <c r="H26" s="35">
        <f>C3*H20</f>
        <v>49.318756455752442</v>
      </c>
    </row>
    <row r="27" spans="2:8">
      <c r="F27" s="35" t="s">
        <v>178</v>
      </c>
      <c r="G27" s="35" t="s">
        <v>177</v>
      </c>
      <c r="H27" s="35">
        <f>C4*H25</f>
        <v>118.80598004990017</v>
      </c>
    </row>
    <row r="28" spans="2:8">
      <c r="G28" s="35" t="s">
        <v>179</v>
      </c>
      <c r="H28" s="35">
        <f>H27*H21</f>
        <v>67.655275165383372</v>
      </c>
    </row>
    <row r="29" spans="2:8">
      <c r="G29" s="35" t="s">
        <v>180</v>
      </c>
      <c r="H29" s="35">
        <f>H27*H22</f>
        <v>51.150704884516799</v>
      </c>
    </row>
    <row r="31" spans="2:8">
      <c r="F31" s="35" t="s">
        <v>182</v>
      </c>
      <c r="H31" s="35">
        <f>H24-H28</f>
        <v>3.0259683788641922</v>
      </c>
    </row>
    <row r="32" spans="2:8">
      <c r="F32" s="35" t="s">
        <v>181</v>
      </c>
      <c r="H32" s="35">
        <f>H29-H26</f>
        <v>1.8319484287643562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249977111117893"/>
  </sheetPr>
  <dimension ref="B2:O46"/>
  <sheetViews>
    <sheetView topLeftCell="A4" zoomScale="70" zoomScaleNormal="70" workbookViewId="0">
      <selection activeCell="H5" sqref="H5"/>
    </sheetView>
  </sheetViews>
  <sheetFormatPr defaultColWidth="8.875" defaultRowHeight="15.75"/>
  <cols>
    <col min="3" max="3" width="10.125" bestFit="1" customWidth="1"/>
    <col min="4" max="4" width="8.875" customWidth="1"/>
    <col min="7" max="7" width="12" bestFit="1" customWidth="1"/>
    <col min="13" max="13" width="10.5" bestFit="1" customWidth="1"/>
  </cols>
  <sheetData>
    <row r="2" spans="2:14">
      <c r="B2" t="s">
        <v>45</v>
      </c>
      <c r="E2" s="23"/>
    </row>
    <row r="3" spans="2:14">
      <c r="F3" s="23"/>
    </row>
    <row r="4" spans="2:14" ht="21">
      <c r="B4" t="s">
        <v>46</v>
      </c>
      <c r="G4" s="23"/>
      <c r="M4" s="24" t="s">
        <v>58</v>
      </c>
      <c r="N4" s="24" t="s">
        <v>50</v>
      </c>
    </row>
    <row r="5" spans="2:14" ht="26.25">
      <c r="M5" s="24" t="s">
        <v>59</v>
      </c>
      <c r="N5" s="24" t="s">
        <v>57</v>
      </c>
    </row>
    <row r="6" spans="2:14" ht="21">
      <c r="M6" s="24" t="s">
        <v>60</v>
      </c>
      <c r="N6" s="24" t="s">
        <v>47</v>
      </c>
    </row>
    <row r="7" spans="2:14" ht="21">
      <c r="M7" s="24" t="s">
        <v>61</v>
      </c>
      <c r="N7" s="24" t="s">
        <v>55</v>
      </c>
    </row>
    <row r="8" spans="2:14" ht="21">
      <c r="M8" s="24" t="s">
        <v>62</v>
      </c>
      <c r="N8" s="24" t="s">
        <v>48</v>
      </c>
    </row>
    <row r="9" spans="2:14" ht="21">
      <c r="M9" s="24" t="s">
        <v>63</v>
      </c>
      <c r="N9" s="24" t="s">
        <v>49</v>
      </c>
    </row>
    <row r="10" spans="2:14" ht="21">
      <c r="M10" s="24" t="s">
        <v>64</v>
      </c>
      <c r="N10" s="24" t="s">
        <v>53</v>
      </c>
    </row>
    <row r="11" spans="2:14" ht="21">
      <c r="M11" s="24" t="s">
        <v>65</v>
      </c>
      <c r="N11" s="24" t="s">
        <v>54</v>
      </c>
    </row>
    <row r="12" spans="2:14" ht="21">
      <c r="M12" s="24" t="s">
        <v>66</v>
      </c>
      <c r="N12" s="24" t="s">
        <v>52</v>
      </c>
    </row>
    <row r="13" spans="2:14" ht="21">
      <c r="M13" s="24" t="s">
        <v>67</v>
      </c>
      <c r="N13" s="24" t="s">
        <v>51</v>
      </c>
    </row>
    <row r="15" spans="2:14" ht="21">
      <c r="M15" s="24" t="s">
        <v>56</v>
      </c>
      <c r="N15" s="24"/>
    </row>
    <row r="16" spans="2:14" ht="21">
      <c r="M16" s="24" t="s">
        <v>68</v>
      </c>
      <c r="N16" s="24"/>
    </row>
    <row r="17" spans="2:14" ht="21">
      <c r="M17" s="25" t="s">
        <v>69</v>
      </c>
      <c r="N17" s="24"/>
    </row>
    <row r="18" spans="2:14" ht="21">
      <c r="M18" s="25" t="s">
        <v>70</v>
      </c>
      <c r="N18" s="24"/>
    </row>
    <row r="20" spans="2:14" ht="21">
      <c r="M20" s="24"/>
      <c r="N20" s="24"/>
    </row>
    <row r="21" spans="2:14" ht="21">
      <c r="M21" s="24"/>
      <c r="N21" s="24"/>
    </row>
    <row r="22" spans="2:14" ht="21">
      <c r="M22" s="24"/>
      <c r="N22" s="24"/>
    </row>
    <row r="23" spans="2:14" ht="21">
      <c r="M23" s="24"/>
      <c r="N23" s="24"/>
    </row>
    <row r="24" spans="2:14" ht="21">
      <c r="M24" s="24"/>
      <c r="N24" s="24"/>
    </row>
    <row r="25" spans="2:14" ht="21">
      <c r="M25" s="24" t="s">
        <v>71</v>
      </c>
      <c r="N25" s="24" t="s">
        <v>73</v>
      </c>
    </row>
    <row r="26" spans="2:14" ht="21">
      <c r="N26" s="24"/>
    </row>
    <row r="27" spans="2:14" ht="21">
      <c r="B27" t="s">
        <v>20</v>
      </c>
      <c r="C27">
        <v>55</v>
      </c>
      <c r="D27">
        <v>1.1000000000000001</v>
      </c>
      <c r="E27" t="s">
        <v>79</v>
      </c>
      <c r="M27" s="24" t="s">
        <v>72</v>
      </c>
      <c r="N27" s="24" t="s">
        <v>74</v>
      </c>
    </row>
    <row r="28" spans="2:14" ht="21">
      <c r="B28" t="s">
        <v>77</v>
      </c>
      <c r="C28">
        <v>50</v>
      </c>
      <c r="D28">
        <v>0.9</v>
      </c>
      <c r="E28" t="s">
        <v>80</v>
      </c>
      <c r="G28" s="26"/>
      <c r="N28" s="25" t="s">
        <v>75</v>
      </c>
    </row>
    <row r="29" spans="2:14" ht="21">
      <c r="B29" t="s">
        <v>78</v>
      </c>
      <c r="C29">
        <v>10</v>
      </c>
      <c r="N29" s="25" t="s">
        <v>76</v>
      </c>
    </row>
    <row r="30" spans="2:14" ht="21">
      <c r="I30" s="24" t="s">
        <v>82</v>
      </c>
    </row>
    <row r="31" spans="2:14" ht="26.25">
      <c r="B31" t="s">
        <v>81</v>
      </c>
      <c r="C31">
        <f>LN(C27/(C28*(D28^C29))) / LN(D27/D28)</f>
        <v>5.7253767608498967</v>
      </c>
      <c r="E31">
        <f>D27^C31</f>
        <v>1.7257930578661722</v>
      </c>
      <c r="I31" s="25" t="s">
        <v>83</v>
      </c>
    </row>
    <row r="32" spans="2:14">
      <c r="E32">
        <f>D28^(C29-C31)</f>
        <v>0.63738812425174329</v>
      </c>
    </row>
    <row r="33" spans="5:15">
      <c r="E33">
        <f>E31*E32*C28</f>
        <v>54.999999999999993</v>
      </c>
    </row>
    <row r="36" spans="5:15">
      <c r="F36">
        <v>6</v>
      </c>
      <c r="H36">
        <f>FACT(F36)</f>
        <v>720</v>
      </c>
      <c r="J36">
        <f>H36/(H37*I37)</f>
        <v>20</v>
      </c>
    </row>
    <row r="37" spans="5:15">
      <c r="F37">
        <v>3</v>
      </c>
      <c r="H37">
        <f>FACT(F37)</f>
        <v>6</v>
      </c>
      <c r="I37">
        <f>FACT(F36-F37)</f>
        <v>6</v>
      </c>
      <c r="K37">
        <f>COMBIN(6,3)</f>
        <v>20</v>
      </c>
    </row>
    <row r="40" spans="5:15">
      <c r="E40" t="e">
        <f t="array" aca="1" ref="E40:G42" ca="1">Test(900)</f>
        <v>#NAME?</v>
      </c>
      <c r="F40" t="e">
        <f ca="1"/>
        <v>#NAME?</v>
      </c>
      <c r="G40" t="e">
        <f ca="1"/>
        <v>#NAME?</v>
      </c>
    </row>
    <row r="41" spans="5:15">
      <c r="E41" t="e">
        <f ca="1"/>
        <v>#NAME?</v>
      </c>
      <c r="F41" t="e">
        <f ca="1"/>
        <v>#NAME?</v>
      </c>
      <c r="G41" t="e">
        <f ca="1"/>
        <v>#NAME?</v>
      </c>
    </row>
    <row r="42" spans="5:15">
      <c r="E42" t="e">
        <f ca="1"/>
        <v>#NAME?</v>
      </c>
      <c r="F42" t="e">
        <f ca="1"/>
        <v>#NAME?</v>
      </c>
      <c r="G42" t="e">
        <f ca="1"/>
        <v>#NAME?</v>
      </c>
      <c r="L42" t="s">
        <v>90</v>
      </c>
      <c r="M42" t="s">
        <v>89</v>
      </c>
      <c r="N42" t="s">
        <v>90</v>
      </c>
      <c r="O42" t="s">
        <v>92</v>
      </c>
    </row>
    <row r="43" spans="5:15">
      <c r="L43" t="s">
        <v>91</v>
      </c>
      <c r="N43" t="s">
        <v>90</v>
      </c>
    </row>
    <row r="44" spans="5:15">
      <c r="E44" t="e">
        <f t="array" aca="1" ref="E44:I46" ca="1">Test()</f>
        <v>#NAME?</v>
      </c>
      <c r="F44" t="e">
        <f ca="1"/>
        <v>#NAME?</v>
      </c>
      <c r="G44" t="e">
        <f ca="1"/>
        <v>#NAME?</v>
      </c>
      <c r="H44" t="e">
        <f ca="1"/>
        <v>#NAME?</v>
      </c>
      <c r="I44" t="e">
        <f ca="1"/>
        <v>#NAME?</v>
      </c>
    </row>
    <row r="45" spans="5:15">
      <c r="E45" t="e">
        <f ca="1"/>
        <v>#NAME?</v>
      </c>
      <c r="F45" t="e">
        <f ca="1"/>
        <v>#NAME?</v>
      </c>
      <c r="G45" t="e">
        <f ca="1"/>
        <v>#NAME?</v>
      </c>
      <c r="H45" t="e">
        <f ca="1"/>
        <v>#NAME?</v>
      </c>
      <c r="I45" t="e">
        <f ca="1"/>
        <v>#NAME?</v>
      </c>
    </row>
    <row r="46" spans="5:15">
      <c r="E46" t="e">
        <f ca="1"/>
        <v>#NAME?</v>
      </c>
      <c r="F46" t="e">
        <f ca="1"/>
        <v>#NAME?</v>
      </c>
      <c r="G46" t="e">
        <f ca="1"/>
        <v>#NAME?</v>
      </c>
      <c r="H46" t="e">
        <f ca="1"/>
        <v>#NAME?</v>
      </c>
      <c r="I46" t="e">
        <f ca="1"/>
        <v>#NAME?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2" tint="-0.249977111117893"/>
  </sheetPr>
  <dimension ref="A2:N41"/>
  <sheetViews>
    <sheetView zoomScale="70" zoomScaleNormal="70" workbookViewId="0">
      <selection activeCell="H5" sqref="H5"/>
    </sheetView>
  </sheetViews>
  <sheetFormatPr defaultColWidth="9" defaultRowHeight="15"/>
  <cols>
    <col min="1" max="1" width="18" style="51" bestFit="1" customWidth="1"/>
    <col min="2" max="2" width="9" style="51"/>
    <col min="3" max="3" width="12.5" style="51" bestFit="1" customWidth="1"/>
    <col min="4" max="4" width="4.375" style="51" bestFit="1" customWidth="1"/>
    <col min="5" max="5" width="13.5" style="51" bestFit="1" customWidth="1"/>
    <col min="6" max="6" width="13" style="51" bestFit="1" customWidth="1"/>
    <col min="7" max="7" width="13.5" style="51" bestFit="1" customWidth="1"/>
    <col min="8" max="8" width="13" style="51" bestFit="1" customWidth="1"/>
    <col min="9" max="9" width="9" style="51"/>
    <col min="10" max="10" width="5.125" style="51" bestFit="1" customWidth="1"/>
    <col min="11" max="11" width="8.125" style="51" bestFit="1" customWidth="1"/>
    <col min="12" max="12" width="13" style="51" bestFit="1" customWidth="1"/>
    <col min="13" max="13" width="11.5" style="51" bestFit="1" customWidth="1"/>
    <col min="14" max="14" width="13" style="51" bestFit="1" customWidth="1"/>
    <col min="15" max="16384" width="9" style="51"/>
  </cols>
  <sheetData>
    <row r="2" spans="1:14">
      <c r="A2" s="51" t="s">
        <v>101</v>
      </c>
      <c r="B2" s="51">
        <v>120</v>
      </c>
      <c r="C2" s="51" t="s">
        <v>109</v>
      </c>
      <c r="D2" s="56"/>
      <c r="E2" s="56" t="s">
        <v>118</v>
      </c>
      <c r="F2" s="56"/>
      <c r="G2" s="56"/>
      <c r="H2" s="56"/>
      <c r="J2" s="64"/>
      <c r="K2" s="64" t="s">
        <v>145</v>
      </c>
      <c r="L2" s="64"/>
      <c r="M2" s="64"/>
      <c r="N2" s="64"/>
    </row>
    <row r="3" spans="1:14">
      <c r="A3" s="51" t="s">
        <v>102</v>
      </c>
      <c r="B3" s="51">
        <v>0.05</v>
      </c>
      <c r="C3" s="51" t="s">
        <v>110</v>
      </c>
      <c r="F3" s="63">
        <v>1</v>
      </c>
      <c r="H3" s="63">
        <v>2</v>
      </c>
      <c r="L3" s="65">
        <v>1</v>
      </c>
      <c r="N3" s="65">
        <v>2</v>
      </c>
    </row>
    <row r="4" spans="1:14">
      <c r="A4" s="51" t="s">
        <v>89</v>
      </c>
      <c r="B4" s="51">
        <v>1</v>
      </c>
      <c r="C4" s="51" t="s">
        <v>111</v>
      </c>
    </row>
    <row r="5" spans="1:14">
      <c r="A5" s="51" t="s">
        <v>103</v>
      </c>
      <c r="B5" s="51">
        <v>120</v>
      </c>
      <c r="C5" s="51" t="s">
        <v>112</v>
      </c>
      <c r="H5" s="59">
        <f>D9*($B$7^2)</f>
        <v>132.62051016907773</v>
      </c>
      <c r="N5" s="61">
        <f>J9*($B$7^2)</f>
        <v>132.62051016907773</v>
      </c>
    </row>
    <row r="6" spans="1:14">
      <c r="A6" s="51" t="s">
        <v>105</v>
      </c>
      <c r="B6" s="51">
        <v>0.01</v>
      </c>
      <c r="C6" s="51" t="s">
        <v>113</v>
      </c>
      <c r="G6" s="51" t="s">
        <v>104</v>
      </c>
      <c r="H6" s="52">
        <f>MAX(0,(H5-$B$5))</f>
        <v>12.620510169077733</v>
      </c>
      <c r="M6" s="51" t="s">
        <v>104</v>
      </c>
      <c r="N6" s="52">
        <f>MAX(($B$5-N5),0)</f>
        <v>0</v>
      </c>
    </row>
    <row r="7" spans="1:14">
      <c r="A7" s="51" t="s">
        <v>79</v>
      </c>
      <c r="B7" s="53">
        <f>EXP(B3*SQRT(B4))</f>
        <v>1.0512710963760241</v>
      </c>
      <c r="C7" s="51" t="s">
        <v>116</v>
      </c>
      <c r="F7" s="58">
        <f>D9*$B$7</f>
        <v>126.1525315651229</v>
      </c>
      <c r="H7" s="52"/>
      <c r="L7" s="60">
        <f>J9*$B$7</f>
        <v>126.1525315651229</v>
      </c>
      <c r="N7" s="52"/>
    </row>
    <row r="8" spans="1:14">
      <c r="A8" s="51" t="s">
        <v>80</v>
      </c>
      <c r="B8" s="53">
        <f>1/B7</f>
        <v>0.9512294245007139</v>
      </c>
      <c r="C8" s="51" t="s">
        <v>117</v>
      </c>
      <c r="E8" s="51" t="s">
        <v>104</v>
      </c>
      <c r="F8" s="52">
        <f>MAX(0,(F7-$B$5))</f>
        <v>6.1525315651228993</v>
      </c>
      <c r="H8" s="52"/>
      <c r="K8" s="51" t="s">
        <v>104</v>
      </c>
      <c r="L8" s="52">
        <f>MAX(($B$5-L7),0)</f>
        <v>0</v>
      </c>
      <c r="N8" s="52"/>
    </row>
    <row r="9" spans="1:14">
      <c r="A9" s="51" t="s">
        <v>106</v>
      </c>
      <c r="B9" s="53">
        <f>(EXP(B6*B4)-B8)/(B7-B8)</f>
        <v>0.587962410871811</v>
      </c>
      <c r="C9" s="51" t="s">
        <v>114</v>
      </c>
      <c r="D9" s="54">
        <f>$B$2</f>
        <v>120</v>
      </c>
      <c r="H9" s="62">
        <f>D9*$B$7*$B$8</f>
        <v>120</v>
      </c>
      <c r="J9" s="54">
        <f>$B$2</f>
        <v>120</v>
      </c>
      <c r="N9" s="62">
        <f>J9*$B$7*$B$8</f>
        <v>120</v>
      </c>
    </row>
    <row r="10" spans="1:14">
      <c r="A10" s="51" t="s">
        <v>107</v>
      </c>
      <c r="B10" s="53">
        <f>1-B9</f>
        <v>0.412037589128189</v>
      </c>
      <c r="C10" s="51" t="s">
        <v>115</v>
      </c>
      <c r="F10" s="60">
        <f>D9*$B$8</f>
        <v>114.14753094008567</v>
      </c>
      <c r="G10" s="51" t="s">
        <v>104</v>
      </c>
      <c r="H10" s="52">
        <f>MAX(0,(H9-$B$5))</f>
        <v>0</v>
      </c>
      <c r="L10" s="58">
        <f>J9*$B$8</f>
        <v>114.14753094008567</v>
      </c>
      <c r="M10" s="51" t="s">
        <v>104</v>
      </c>
      <c r="N10" s="52">
        <f>MAX(($B$5-N9),0)</f>
        <v>0</v>
      </c>
    </row>
    <row r="11" spans="1:14">
      <c r="E11" s="51" t="s">
        <v>104</v>
      </c>
      <c r="F11" s="52">
        <f>MAX(0,(F10-$B$5))</f>
        <v>0</v>
      </c>
      <c r="K11" s="51" t="s">
        <v>104</v>
      </c>
      <c r="L11" s="52">
        <f>MAX(($B$5-L10),0)</f>
        <v>5.852469059914327</v>
      </c>
    </row>
    <row r="12" spans="1:14">
      <c r="H12" s="61">
        <f>D9*($B$8^2)</f>
        <v>108.58049016431512</v>
      </c>
      <c r="N12" s="59">
        <f>J9*($B$8^2)</f>
        <v>108.58049016431512</v>
      </c>
    </row>
    <row r="13" spans="1:14">
      <c r="G13" s="51" t="s">
        <v>104</v>
      </c>
      <c r="H13" s="52">
        <f>MAX(0,(H12-$B$5))</f>
        <v>0</v>
      </c>
      <c r="M13" s="51" t="s">
        <v>104</v>
      </c>
      <c r="N13" s="52">
        <f>MAX(($B$5-N12),0)</f>
        <v>11.419509835684877</v>
      </c>
    </row>
    <row r="15" spans="1:14">
      <c r="F15" s="57" t="s">
        <v>119</v>
      </c>
      <c r="H15" s="57" t="s">
        <v>120</v>
      </c>
      <c r="L15" s="66" t="s">
        <v>119</v>
      </c>
      <c r="N15" s="66" t="s">
        <v>120</v>
      </c>
    </row>
    <row r="16" spans="1:14">
      <c r="A16" s="54" t="s">
        <v>108</v>
      </c>
      <c r="C16" s="55">
        <f>(F8*B9+F11*B10)/(1+B6)</f>
        <v>3.5816408831629469</v>
      </c>
      <c r="E16" s="51" t="s">
        <v>125</v>
      </c>
      <c r="F16" s="51">
        <f>F8*$B$9</f>
        <v>3.6174572919945764</v>
      </c>
      <c r="G16" s="51" t="s">
        <v>121</v>
      </c>
      <c r="H16" s="51">
        <f>H6*($B$9^2)</f>
        <v>4.3629077984155895</v>
      </c>
      <c r="K16" s="51" t="s">
        <v>125</v>
      </c>
      <c r="L16" s="51">
        <f>L8*$B$9</f>
        <v>0</v>
      </c>
      <c r="M16" s="51" t="s">
        <v>121</v>
      </c>
      <c r="N16" s="51">
        <f>N6*($B$9^2)</f>
        <v>0</v>
      </c>
    </row>
    <row r="17" spans="5:14">
      <c r="E17" s="51" t="s">
        <v>126</v>
      </c>
      <c r="F17" s="51">
        <f>F11*$B$10</f>
        <v>0</v>
      </c>
      <c r="G17" s="51" t="s">
        <v>122</v>
      </c>
      <c r="H17" s="51">
        <f>H10*$B$9*$B$10</f>
        <v>0</v>
      </c>
      <c r="K17" s="51" t="s">
        <v>126</v>
      </c>
      <c r="L17" s="51">
        <f>L11*$B$10</f>
        <v>2.4114372418944181</v>
      </c>
      <c r="M17" s="51" t="s">
        <v>122</v>
      </c>
      <c r="N17" s="51">
        <f>N10*$B$9*$B$10</f>
        <v>0</v>
      </c>
    </row>
    <row r="18" spans="5:14">
      <c r="G18" s="51" t="s">
        <v>123</v>
      </c>
      <c r="H18" s="51">
        <f>H13*($B$10^2)</f>
        <v>0</v>
      </c>
      <c r="M18" s="51" t="s">
        <v>123</v>
      </c>
      <c r="N18" s="51">
        <f>N13*($B$10^2)</f>
        <v>1.9387469952049183</v>
      </c>
    </row>
    <row r="19" spans="5:14">
      <c r="E19" s="51" t="s">
        <v>127</v>
      </c>
      <c r="F19" s="51">
        <f>(1+$B$6)</f>
        <v>1.01</v>
      </c>
      <c r="K19" s="51" t="s">
        <v>127</v>
      </c>
      <c r="L19" s="51">
        <f>(1+$B$6)</f>
        <v>1.01</v>
      </c>
    </row>
    <row r="20" spans="5:14">
      <c r="E20" s="51" t="s">
        <v>124</v>
      </c>
      <c r="F20" s="54">
        <f>SUM(F16:F17)/F19</f>
        <v>3.5816408831629469</v>
      </c>
      <c r="H20" s="54"/>
      <c r="K20" s="51" t="s">
        <v>124</v>
      </c>
      <c r="L20" s="54">
        <f>SUM(L16:L17)/L19</f>
        <v>2.3875616256380376</v>
      </c>
    </row>
    <row r="22" spans="5:14">
      <c r="E22" s="51" t="s">
        <v>128</v>
      </c>
      <c r="F22" s="51">
        <f>$B$3*SQRT($B$4/F3)</f>
        <v>0.05</v>
      </c>
      <c r="G22" s="51" t="s">
        <v>128</v>
      </c>
      <c r="H22" s="51">
        <f>$B$3*SQRT($B$4/2)</f>
        <v>3.5355339059327383E-2</v>
      </c>
      <c r="K22" s="51" t="s">
        <v>128</v>
      </c>
      <c r="L22" s="51">
        <f>$B$3*SQRT($B$4/L3)</f>
        <v>0.05</v>
      </c>
      <c r="M22" s="51" t="s">
        <v>128</v>
      </c>
      <c r="N22" s="51">
        <f>$B$3*SQRT($B$4/N3)</f>
        <v>3.5355339059327383E-2</v>
      </c>
    </row>
    <row r="23" spans="5:14">
      <c r="E23" s="51" t="s">
        <v>134</v>
      </c>
      <c r="F23" s="51">
        <f>EXP(F22)</f>
        <v>1.0512710963760241</v>
      </c>
      <c r="G23" s="51" t="s">
        <v>134</v>
      </c>
      <c r="H23" s="51">
        <f>EXP(H22)</f>
        <v>1.0359877703222138</v>
      </c>
      <c r="K23" s="51" t="s">
        <v>134</v>
      </c>
      <c r="L23" s="51">
        <f>EXP(L22)</f>
        <v>1.0512710963760241</v>
      </c>
      <c r="M23" s="51" t="s">
        <v>134</v>
      </c>
      <c r="N23" s="51">
        <f>EXP(N22)</f>
        <v>1.0359877703222138</v>
      </c>
    </row>
    <row r="24" spans="5:14">
      <c r="E24" s="51" t="s">
        <v>135</v>
      </c>
      <c r="F24" s="51">
        <f>1/F23</f>
        <v>0.9512294245007139</v>
      </c>
      <c r="G24" s="51" t="s">
        <v>135</v>
      </c>
      <c r="H24" s="51">
        <f>1/H23</f>
        <v>0.96526235989154496</v>
      </c>
      <c r="K24" s="51" t="s">
        <v>135</v>
      </c>
      <c r="L24" s="51">
        <f>1/L23</f>
        <v>0.9512294245007139</v>
      </c>
      <c r="M24" s="51" t="s">
        <v>135</v>
      </c>
      <c r="N24" s="51">
        <f>1/N23</f>
        <v>0.96526235989154496</v>
      </c>
    </row>
    <row r="25" spans="5:14">
      <c r="E25" s="51" t="s">
        <v>129</v>
      </c>
      <c r="F25" s="51">
        <f>(1+$B$6) ^ ($B$4/F3)</f>
        <v>1.01</v>
      </c>
      <c r="G25" s="51" t="s">
        <v>129</v>
      </c>
      <c r="H25" s="51">
        <f>(1+$B$6) ^ ($B$4/H3)</f>
        <v>1.004987562112089</v>
      </c>
      <c r="K25" s="51" t="s">
        <v>129</v>
      </c>
      <c r="L25" s="51">
        <f>(1+$B$6) ^ ($B$4/L3)</f>
        <v>1.01</v>
      </c>
      <c r="M25" s="51" t="s">
        <v>129</v>
      </c>
      <c r="N25" s="51">
        <f>(1+$B$6) ^ ($B$4/N3)</f>
        <v>1.004987562112089</v>
      </c>
    </row>
    <row r="26" spans="5:14">
      <c r="E26" s="51" t="s">
        <v>130</v>
      </c>
      <c r="F26" s="51">
        <f>(F25-F24)/(F23-F24)</f>
        <v>0.58746094899869816</v>
      </c>
      <c r="G26" s="51" t="s">
        <v>130</v>
      </c>
      <c r="H26" s="51">
        <f>(H25-H24)/(H23-H24)</f>
        <v>0.56168217304989798</v>
      </c>
      <c r="K26" s="51" t="s">
        <v>130</v>
      </c>
      <c r="L26" s="51">
        <f>(L25-L24)/(L23-L24)</f>
        <v>0.58746094899869816</v>
      </c>
      <c r="M26" s="51" t="s">
        <v>130</v>
      </c>
      <c r="N26" s="51">
        <f>(N25-N24)/(N23-N24)</f>
        <v>0.56168217304989798</v>
      </c>
    </row>
    <row r="27" spans="5:14">
      <c r="E27" s="51" t="s">
        <v>131</v>
      </c>
      <c r="F27" s="51">
        <f>1-F26</f>
        <v>0.41253905100130184</v>
      </c>
      <c r="G27" s="51" t="s">
        <v>131</v>
      </c>
      <c r="H27" s="51">
        <f>1-H26</f>
        <v>0.43831782695010202</v>
      </c>
      <c r="K27" s="51" t="s">
        <v>131</v>
      </c>
      <c r="L27" s="51">
        <f>1-L26</f>
        <v>0.41253905100130184</v>
      </c>
      <c r="M27" s="51" t="s">
        <v>131</v>
      </c>
      <c r="N27" s="51">
        <f>1-N26</f>
        <v>0.43831782695010202</v>
      </c>
    </row>
    <row r="29" spans="5:14">
      <c r="E29" s="67" t="s">
        <v>132</v>
      </c>
      <c r="F29" s="51">
        <f>LN($B$5/($B$2*(F24^F3)))</f>
        <v>5.0000000000000072E-2</v>
      </c>
      <c r="G29" s="67" t="s">
        <v>132</v>
      </c>
      <c r="H29" s="51">
        <f>LN($B$5/($B$2*(H24^H3)))</f>
        <v>7.0710678118654891E-2</v>
      </c>
      <c r="K29" s="68" t="s">
        <v>132</v>
      </c>
      <c r="L29" s="51">
        <f>LN($B$5/($B$2*(L23^L3)))</f>
        <v>-5.0000000000000107E-2</v>
      </c>
      <c r="M29" s="68" t="s">
        <v>132</v>
      </c>
      <c r="N29" s="51">
        <f>LN($B$5/($B$2*(N23^N3)))</f>
        <v>-7.0710678118654599E-2</v>
      </c>
    </row>
    <row r="30" spans="5:14">
      <c r="E30" s="67" t="s">
        <v>133</v>
      </c>
      <c r="F30" s="51">
        <f>LN(F23/F24)</f>
        <v>0.10000000000000028</v>
      </c>
      <c r="G30" s="67" t="s">
        <v>133</v>
      </c>
      <c r="H30" s="51">
        <f>LN(H23/H24)</f>
        <v>7.0710678118654696E-2</v>
      </c>
      <c r="K30" s="68" t="s">
        <v>133</v>
      </c>
      <c r="L30" s="51">
        <f>LN(L24/L23)</f>
        <v>-0.10000000000000019</v>
      </c>
      <c r="M30" s="68" t="s">
        <v>133</v>
      </c>
      <c r="N30" s="51">
        <f>LN(N24/N23)</f>
        <v>-7.0710678118654724E-2</v>
      </c>
    </row>
    <row r="31" spans="5:14">
      <c r="E31" s="67" t="s">
        <v>136</v>
      </c>
      <c r="F31" s="51">
        <f>F29/F30</f>
        <v>0.49999999999999933</v>
      </c>
      <c r="G31" s="67" t="s">
        <v>136</v>
      </c>
      <c r="H31" s="51">
        <f>H29/H30</f>
        <v>1.0000000000000027</v>
      </c>
      <c r="K31" s="68" t="s">
        <v>136</v>
      </c>
      <c r="L31" s="51">
        <f>L29/L30</f>
        <v>0.50000000000000011</v>
      </c>
      <c r="M31" s="68" t="s">
        <v>136</v>
      </c>
      <c r="N31" s="51">
        <f>N29/N30</f>
        <v>0.99999999999999822</v>
      </c>
    </row>
    <row r="32" spans="5:14">
      <c r="E32" s="67" t="s">
        <v>137</v>
      </c>
      <c r="F32" s="51">
        <v>1</v>
      </c>
      <c r="G32" s="67" t="s">
        <v>137</v>
      </c>
      <c r="H32" s="51">
        <v>1</v>
      </c>
      <c r="K32" s="68" t="s">
        <v>137</v>
      </c>
      <c r="L32" s="51">
        <v>1</v>
      </c>
      <c r="M32" s="68" t="s">
        <v>137</v>
      </c>
      <c r="N32" s="51">
        <v>1</v>
      </c>
    </row>
    <row r="34" spans="5:14">
      <c r="E34" s="51" t="s">
        <v>138</v>
      </c>
      <c r="F34" s="51">
        <f>COMBIN(F3,1)</f>
        <v>1</v>
      </c>
      <c r="G34" s="51" t="s">
        <v>138</v>
      </c>
      <c r="H34" s="51">
        <f>COMBIN(H3,2)</f>
        <v>1</v>
      </c>
      <c r="K34" s="51" t="s">
        <v>138</v>
      </c>
      <c r="L34" s="51">
        <f>COMBIN(L3,1)</f>
        <v>1</v>
      </c>
      <c r="M34" s="51" t="s">
        <v>138</v>
      </c>
      <c r="N34" s="51">
        <f>COMBIN(N3,2)</f>
        <v>1</v>
      </c>
    </row>
    <row r="35" spans="5:14">
      <c r="E35" s="51" t="s">
        <v>139</v>
      </c>
      <c r="F35" s="51">
        <f>(F26^F3)*(F27^(F3-F3))</f>
        <v>0.58746094899869816</v>
      </c>
      <c r="G35" s="51" t="s">
        <v>139</v>
      </c>
      <c r="H35" s="51">
        <f>(H26^H3)*(H27^(H3-H3))</f>
        <v>0.31548686352205552</v>
      </c>
      <c r="K35" s="51" t="s">
        <v>139</v>
      </c>
      <c r="L35" s="51">
        <f>(L27^L3)*(L26^(L3-L3))</f>
        <v>0.41253905100130184</v>
      </c>
      <c r="M35" s="51" t="s">
        <v>139</v>
      </c>
      <c r="N35" s="51">
        <f>(N27^N3)*(N26^(N3-N3))</f>
        <v>0.19212251742225958</v>
      </c>
    </row>
    <row r="36" spans="5:14">
      <c r="E36" s="51" t="s">
        <v>140</v>
      </c>
      <c r="F36" s="51">
        <f>(F23^F3)*(F24^(F3-F3))</f>
        <v>1.0512710963760241</v>
      </c>
      <c r="G36" s="51" t="s">
        <v>140</v>
      </c>
      <c r="H36" s="51">
        <f>(H23^H3)*(H24^(H3-H3))</f>
        <v>1.073270660257192</v>
      </c>
      <c r="K36" s="51" t="s">
        <v>140</v>
      </c>
      <c r="L36" s="51">
        <f>(L24^L3)*(L23^(L3-L3))</f>
        <v>0.9512294245007139</v>
      </c>
      <c r="M36" s="51" t="s">
        <v>140</v>
      </c>
      <c r="N36" s="51">
        <f>(N24^N3)*(N23^(N3-N3))</f>
        <v>0.93173142342339443</v>
      </c>
    </row>
    <row r="37" spans="5:14">
      <c r="E37" s="51" t="s">
        <v>141</v>
      </c>
      <c r="F37" s="51">
        <f>(F36*$B$2)-$B$5</f>
        <v>6.1525315651228993</v>
      </c>
      <c r="G37" s="51" t="s">
        <v>141</v>
      </c>
      <c r="H37" s="51">
        <f>(H36*$B$2)-$B$5</f>
        <v>8.7924792308630231</v>
      </c>
      <c r="K37" s="51" t="s">
        <v>141</v>
      </c>
      <c r="L37" s="51">
        <f>$B$5-(L36*$B$2)</f>
        <v>5.852469059914327</v>
      </c>
      <c r="M37" s="51" t="s">
        <v>141</v>
      </c>
      <c r="N37" s="51">
        <f>$B$5-(N36*$B$2)</f>
        <v>8.1922291891926733</v>
      </c>
    </row>
    <row r="39" spans="5:14">
      <c r="E39" s="51" t="s">
        <v>144</v>
      </c>
      <c r="F39" s="51">
        <f>F34*F35*F37</f>
        <v>3.614372031991544</v>
      </c>
      <c r="G39" s="51" t="s">
        <v>144</v>
      </c>
      <c r="H39" s="51">
        <f>H34*H35*H37</f>
        <v>2.77391169512779</v>
      </c>
      <c r="K39" s="51" t="s">
        <v>144</v>
      </c>
      <c r="L39" s="51">
        <f>L34*L35*L37</f>
        <v>2.4143720319915376</v>
      </c>
      <c r="M39" s="51" t="s">
        <v>144</v>
      </c>
      <c r="N39" s="51">
        <f>N34*N35*N37</f>
        <v>1.5739116951278129</v>
      </c>
    </row>
    <row r="40" spans="5:14">
      <c r="E40" s="51" t="s">
        <v>142</v>
      </c>
      <c r="F40" s="51">
        <f>(1/(F25^F3))</f>
        <v>0.99009900990099009</v>
      </c>
      <c r="G40" s="51" t="s">
        <v>142</v>
      </c>
      <c r="H40" s="51">
        <f>(1/(H25^H3))</f>
        <v>0.99009900990099031</v>
      </c>
      <c r="K40" s="51" t="s">
        <v>142</v>
      </c>
      <c r="L40" s="51">
        <f>(1/(L25^L3))</f>
        <v>0.99009900990099009</v>
      </c>
      <c r="M40" s="51" t="s">
        <v>142</v>
      </c>
      <c r="N40" s="51">
        <f>(1/(N25^N3))</f>
        <v>0.99009900990099031</v>
      </c>
    </row>
    <row r="41" spans="5:14">
      <c r="E41" s="51" t="s">
        <v>143</v>
      </c>
      <c r="F41" s="54">
        <f>F40*F39</f>
        <v>3.5785861702886574</v>
      </c>
      <c r="G41" s="51" t="s">
        <v>143</v>
      </c>
      <c r="H41" s="54">
        <f>H40*H39</f>
        <v>2.7464472228988024</v>
      </c>
      <c r="K41" s="51" t="s">
        <v>143</v>
      </c>
      <c r="L41" s="54">
        <f>L40*L39</f>
        <v>2.3904673584074629</v>
      </c>
      <c r="M41" s="51" t="s">
        <v>143</v>
      </c>
      <c r="N41" s="54">
        <f>N40*N39</f>
        <v>1.558328411017637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2" tint="-0.249977111117893"/>
  </sheetPr>
  <dimension ref="J2:X46"/>
  <sheetViews>
    <sheetView zoomScale="70" zoomScaleNormal="70" workbookViewId="0">
      <selection activeCell="H5" sqref="H5"/>
    </sheetView>
  </sheetViews>
  <sheetFormatPr defaultColWidth="8.875" defaultRowHeight="15.75"/>
  <cols>
    <col min="16" max="16" width="6" bestFit="1" customWidth="1"/>
    <col min="17" max="17" width="9.125" bestFit="1" customWidth="1"/>
    <col min="18" max="18" width="12.5" bestFit="1" customWidth="1"/>
    <col min="19" max="19" width="2.5" bestFit="1" customWidth="1"/>
    <col min="20" max="20" width="8.125" bestFit="1" customWidth="1"/>
    <col min="21" max="21" width="2.5" bestFit="1" customWidth="1"/>
    <col min="22" max="22" width="3.875" bestFit="1" customWidth="1"/>
    <col min="23" max="23" width="8.125" bestFit="1" customWidth="1"/>
  </cols>
  <sheetData>
    <row r="2" spans="16:24">
      <c r="P2" s="51" t="s">
        <v>101</v>
      </c>
      <c r="Q2" s="51">
        <v>120</v>
      </c>
      <c r="R2" s="51" t="s">
        <v>109</v>
      </c>
    </row>
    <row r="3" spans="16:24">
      <c r="P3" s="51" t="s">
        <v>102</v>
      </c>
      <c r="Q3" s="51">
        <v>0.05</v>
      </c>
      <c r="R3" s="51" t="s">
        <v>110</v>
      </c>
    </row>
    <row r="4" spans="16:24">
      <c r="P4" s="51" t="s">
        <v>89</v>
      </c>
      <c r="Q4" s="51">
        <v>1</v>
      </c>
      <c r="R4" s="51" t="s">
        <v>111</v>
      </c>
    </row>
    <row r="5" spans="16:24">
      <c r="P5" s="51" t="s">
        <v>103</v>
      </c>
      <c r="Q5" s="51">
        <v>120</v>
      </c>
      <c r="R5" s="51" t="s">
        <v>112</v>
      </c>
    </row>
    <row r="6" spans="16:24">
      <c r="P6" s="51" t="s">
        <v>105</v>
      </c>
      <c r="Q6" s="51">
        <v>0.01</v>
      </c>
      <c r="R6" s="51" t="s">
        <v>113</v>
      </c>
    </row>
    <row r="7" spans="16:24">
      <c r="P7" s="79" t="s">
        <v>79</v>
      </c>
      <c r="Q7" s="80">
        <f>EXP(Q3*SQRT(Q4))</f>
        <v>1.0512710963760241</v>
      </c>
      <c r="R7" s="79" t="s">
        <v>116</v>
      </c>
    </row>
    <row r="8" spans="16:24">
      <c r="P8" s="79" t="s">
        <v>80</v>
      </c>
      <c r="Q8" s="80">
        <f>1/Q7</f>
        <v>0.9512294245007139</v>
      </c>
      <c r="R8" s="79" t="s">
        <v>117</v>
      </c>
    </row>
    <row r="9" spans="16:24">
      <c r="P9" s="79" t="s">
        <v>106</v>
      </c>
      <c r="Q9" s="80">
        <f>(EXP(Q6*Q4)-Q8)/(Q7-Q8)</f>
        <v>0.587962410871811</v>
      </c>
      <c r="R9" s="79" t="s">
        <v>114</v>
      </c>
    </row>
    <row r="10" spans="16:24">
      <c r="P10" s="79" t="s">
        <v>107</v>
      </c>
      <c r="Q10" s="80">
        <f>1-Q9</f>
        <v>0.412037589128189</v>
      </c>
      <c r="R10" s="79" t="s">
        <v>115</v>
      </c>
    </row>
    <row r="13" spans="16:24">
      <c r="T13" s="69"/>
      <c r="V13" s="73">
        <v>1</v>
      </c>
      <c r="W13" s="76"/>
    </row>
    <row r="14" spans="16:24">
      <c r="P14" t="s">
        <v>154</v>
      </c>
      <c r="Q14" t="s">
        <v>146</v>
      </c>
      <c r="R14" t="s">
        <v>147</v>
      </c>
      <c r="S14" t="s">
        <v>148</v>
      </c>
      <c r="T14" s="70" t="s">
        <v>149</v>
      </c>
      <c r="U14" s="72" t="s">
        <v>148</v>
      </c>
      <c r="V14" s="74" t="s">
        <v>150</v>
      </c>
      <c r="W14" s="77" t="s">
        <v>151</v>
      </c>
      <c r="X14" s="72" t="s">
        <v>152</v>
      </c>
    </row>
    <row r="15" spans="16:24">
      <c r="T15" s="71"/>
      <c r="V15" s="73">
        <v>2</v>
      </c>
      <c r="W15" s="78"/>
    </row>
    <row r="16" spans="16:24">
      <c r="R16" s="75"/>
      <c r="S16" s="75"/>
      <c r="T16" s="75"/>
      <c r="U16" s="75"/>
      <c r="V16" s="75"/>
      <c r="W16" s="75"/>
      <c r="X16" s="75"/>
    </row>
    <row r="18" spans="12:22">
      <c r="T18" t="s">
        <v>102</v>
      </c>
      <c r="U18" t="s">
        <v>153</v>
      </c>
      <c r="V18" t="s">
        <v>156</v>
      </c>
    </row>
    <row r="20" spans="12:22">
      <c r="P20" t="s">
        <v>155</v>
      </c>
      <c r="Q20" t="s">
        <v>157</v>
      </c>
    </row>
    <row r="24" spans="12:22">
      <c r="Q24" s="82"/>
    </row>
    <row r="32" spans="12:22">
      <c r="L32">
        <f>LN(120/120)</f>
        <v>0</v>
      </c>
    </row>
    <row r="33" spans="10:14">
      <c r="L33">
        <f>0.05*0.05</f>
        <v>2.5000000000000005E-3</v>
      </c>
    </row>
    <row r="34" spans="10:14">
      <c r="L34">
        <f>L33/2</f>
        <v>1.2500000000000002E-3</v>
      </c>
    </row>
    <row r="35" spans="10:14">
      <c r="L35">
        <f>L34+0.01</f>
        <v>1.125E-2</v>
      </c>
    </row>
    <row r="36" spans="10:14">
      <c r="L36" s="81">
        <f>L35/0.05</f>
        <v>0.22499999999999998</v>
      </c>
      <c r="N36">
        <f>NORMSINV(L36)</f>
        <v>-0.75541502636046909</v>
      </c>
    </row>
    <row r="38" spans="10:14">
      <c r="N38" s="81">
        <f>L36-0.05</f>
        <v>0.17499999999999999</v>
      </c>
    </row>
    <row r="39" spans="10:14">
      <c r="N39">
        <f>_xlfn.NORM.S.INV(N38)</f>
        <v>-0.93458929107347943</v>
      </c>
    </row>
    <row r="42" spans="10:14">
      <c r="J42">
        <f>120*N36</f>
        <v>-90.649803163256294</v>
      </c>
    </row>
    <row r="43" spans="10:14">
      <c r="J43">
        <f>EXP(-Q6*Q4)</f>
        <v>0.99004983374916811</v>
      </c>
    </row>
    <row r="44" spans="10:14">
      <c r="J44">
        <f>120*J43</f>
        <v>118.80598004990017</v>
      </c>
    </row>
    <row r="45" spans="10:14">
      <c r="J45">
        <f>J44*N39</f>
        <v>-111.03479667012614</v>
      </c>
    </row>
    <row r="46" spans="10:14">
      <c r="J46">
        <f>J42-J45</f>
        <v>20.384993506869847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2" tint="-0.249977111117893"/>
  </sheetPr>
  <dimension ref="A1"/>
  <sheetViews>
    <sheetView zoomScale="70" zoomScaleNormal="70" workbookViewId="0">
      <selection activeCell="H5" sqref="H5"/>
    </sheetView>
  </sheetViews>
  <sheetFormatPr defaultColWidth="8.875"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</sheetPr>
  <dimension ref="B1:AC28"/>
  <sheetViews>
    <sheetView tabSelected="1" zoomScale="70" zoomScaleNormal="70" workbookViewId="0">
      <selection activeCell="J18" sqref="J18"/>
    </sheetView>
  </sheetViews>
  <sheetFormatPr defaultColWidth="8.875" defaultRowHeight="15.75"/>
  <sheetData>
    <row r="1" spans="2:29">
      <c r="F1">
        <v>0</v>
      </c>
      <c r="G1">
        <v>0</v>
      </c>
      <c r="H1">
        <v>0</v>
      </c>
      <c r="Y1">
        <v>10</v>
      </c>
      <c r="Z1">
        <v>20</v>
      </c>
      <c r="AA1">
        <v>30</v>
      </c>
    </row>
    <row r="2" spans="2:29">
      <c r="B2" t="s">
        <v>186</v>
      </c>
      <c r="F2">
        <v>0</v>
      </c>
      <c r="G2">
        <v>1</v>
      </c>
      <c r="H2">
        <v>0.32</v>
      </c>
      <c r="M2">
        <v>10</v>
      </c>
      <c r="N2">
        <v>20</v>
      </c>
      <c r="O2">
        <v>30</v>
      </c>
      <c r="Q2">
        <v>10</v>
      </c>
      <c r="R2">
        <v>20</v>
      </c>
      <c r="S2">
        <v>30</v>
      </c>
      <c r="U2">
        <f t="array" ref="U2:W13">MMULT(M2:O13,C10:E12)</f>
        <v>10</v>
      </c>
      <c r="V2">
        <v>22</v>
      </c>
      <c r="W2">
        <v>36.98076211353316</v>
      </c>
      <c r="Y2">
        <v>40</v>
      </c>
      <c r="Z2">
        <v>64</v>
      </c>
      <c r="AA2">
        <v>83.96152422706632</v>
      </c>
      <c r="AC2">
        <f>CORREL(Y1:Y12,Z1:Z12)</f>
        <v>0.86706061911999455</v>
      </c>
    </row>
    <row r="3" spans="2:29">
      <c r="C3" t="s">
        <v>183</v>
      </c>
      <c r="D3" t="s">
        <v>184</v>
      </c>
      <c r="E3" t="s">
        <v>185</v>
      </c>
      <c r="F3">
        <v>0</v>
      </c>
      <c r="G3">
        <v>0</v>
      </c>
      <c r="H3">
        <v>0.94741754258616084</v>
      </c>
      <c r="M3">
        <v>40</v>
      </c>
      <c r="N3">
        <v>50</v>
      </c>
      <c r="O3">
        <v>60</v>
      </c>
      <c r="Q3">
        <f t="array" ref="Q3:S13">MMULT(M3:O13,C10:E12)</f>
        <v>40</v>
      </c>
      <c r="R3">
        <v>64</v>
      </c>
      <c r="S3">
        <v>83.96152422706632</v>
      </c>
      <c r="U3">
        <v>40</v>
      </c>
      <c r="V3">
        <v>64</v>
      </c>
      <c r="W3">
        <v>83.96152422706632</v>
      </c>
      <c r="Y3">
        <v>70</v>
      </c>
      <c r="Z3">
        <v>106</v>
      </c>
      <c r="AA3">
        <v>130.94228634059948</v>
      </c>
      <c r="AC3">
        <f>CORREL(Y:Y,Z:Z)</f>
        <v>0.86706061911999455</v>
      </c>
    </row>
    <row r="4" spans="2:29">
      <c r="B4" t="s">
        <v>183</v>
      </c>
      <c r="C4" s="85">
        <v>1</v>
      </c>
      <c r="D4" s="85">
        <v>0.6</v>
      </c>
      <c r="E4" s="85">
        <v>0.3</v>
      </c>
      <c r="M4">
        <v>70</v>
      </c>
      <c r="N4">
        <v>80</v>
      </c>
      <c r="O4">
        <v>90</v>
      </c>
      <c r="Q4">
        <v>70</v>
      </c>
      <c r="R4">
        <v>106</v>
      </c>
      <c r="S4">
        <v>130.94228634059948</v>
      </c>
      <c r="U4">
        <v>70</v>
      </c>
      <c r="V4">
        <v>106</v>
      </c>
      <c r="W4">
        <v>130.94228634059948</v>
      </c>
      <c r="Y4">
        <v>110</v>
      </c>
      <c r="Z4">
        <v>170</v>
      </c>
      <c r="AA4">
        <v>214.9038105676658</v>
      </c>
    </row>
    <row r="5" spans="2:29">
      <c r="B5" t="s">
        <v>184</v>
      </c>
      <c r="C5" s="85">
        <v>0.6</v>
      </c>
      <c r="D5" s="85">
        <v>1</v>
      </c>
      <c r="E5" s="85">
        <v>0.5</v>
      </c>
      <c r="M5">
        <v>110</v>
      </c>
      <c r="N5">
        <v>130</v>
      </c>
      <c r="O5">
        <v>150</v>
      </c>
      <c r="Q5">
        <v>110</v>
      </c>
      <c r="R5">
        <v>170</v>
      </c>
      <c r="S5">
        <v>214.9038105676658</v>
      </c>
      <c r="U5">
        <v>110</v>
      </c>
      <c r="V5">
        <v>170</v>
      </c>
      <c r="W5">
        <v>214.9038105676658</v>
      </c>
      <c r="Y5">
        <v>190</v>
      </c>
      <c r="Z5">
        <v>290</v>
      </c>
      <c r="AA5">
        <v>361.50635094610971</v>
      </c>
    </row>
    <row r="6" spans="2:29">
      <c r="B6" t="s">
        <v>185</v>
      </c>
      <c r="C6" s="85">
        <v>0.3</v>
      </c>
      <c r="D6" s="85">
        <v>0.5</v>
      </c>
      <c r="E6" s="85">
        <v>1</v>
      </c>
      <c r="M6">
        <v>190</v>
      </c>
      <c r="N6">
        <v>220</v>
      </c>
      <c r="O6">
        <v>250</v>
      </c>
      <c r="Q6">
        <v>190</v>
      </c>
      <c r="R6">
        <v>290</v>
      </c>
      <c r="S6">
        <v>361.50635094610971</v>
      </c>
      <c r="U6">
        <v>190</v>
      </c>
      <c r="V6">
        <v>290</v>
      </c>
      <c r="W6">
        <v>361.50635094610971</v>
      </c>
      <c r="Y6">
        <v>300</v>
      </c>
      <c r="Z6">
        <v>444</v>
      </c>
      <c r="AA6">
        <v>533.76914536239792</v>
      </c>
    </row>
    <row r="7" spans="2:29">
      <c r="M7">
        <v>300</v>
      </c>
      <c r="N7">
        <v>330</v>
      </c>
      <c r="O7">
        <v>360</v>
      </c>
      <c r="Q7">
        <v>300</v>
      </c>
      <c r="R7">
        <v>444</v>
      </c>
      <c r="S7">
        <v>533.76914536239792</v>
      </c>
      <c r="U7">
        <v>300</v>
      </c>
      <c r="V7">
        <v>444</v>
      </c>
      <c r="W7">
        <v>533.76914536239792</v>
      </c>
      <c r="Y7">
        <v>250</v>
      </c>
      <c r="Z7">
        <v>438</v>
      </c>
      <c r="AA7">
        <v>565.41016151377551</v>
      </c>
    </row>
    <row r="8" spans="2:29">
      <c r="B8" t="s">
        <v>187</v>
      </c>
      <c r="M8">
        <v>250</v>
      </c>
      <c r="N8">
        <v>360</v>
      </c>
      <c r="O8">
        <v>400</v>
      </c>
      <c r="Q8">
        <v>250</v>
      </c>
      <c r="R8">
        <v>438</v>
      </c>
      <c r="S8">
        <v>565.41016151377551</v>
      </c>
      <c r="U8">
        <v>250</v>
      </c>
      <c r="V8">
        <v>438</v>
      </c>
      <c r="W8">
        <v>565.41016151377551</v>
      </c>
      <c r="Y8">
        <v>220</v>
      </c>
      <c r="Z8">
        <v>444</v>
      </c>
      <c r="AA8">
        <v>603.05117766515309</v>
      </c>
    </row>
    <row r="9" spans="2:29">
      <c r="C9" t="s">
        <v>183</v>
      </c>
      <c r="D9" t="s">
        <v>184</v>
      </c>
      <c r="E9" t="s">
        <v>185</v>
      </c>
      <c r="M9">
        <v>220</v>
      </c>
      <c r="N9">
        <v>390</v>
      </c>
      <c r="O9">
        <v>440</v>
      </c>
      <c r="Q9">
        <v>220</v>
      </c>
      <c r="R9">
        <v>444</v>
      </c>
      <c r="S9">
        <v>603.05117766515309</v>
      </c>
      <c r="U9">
        <v>220</v>
      </c>
      <c r="V9">
        <v>444</v>
      </c>
      <c r="W9">
        <v>603.05117766515309</v>
      </c>
      <c r="Y9">
        <v>190</v>
      </c>
      <c r="Z9">
        <v>450</v>
      </c>
      <c r="AA9">
        <v>640.69219381653056</v>
      </c>
    </row>
    <row r="10" spans="2:29">
      <c r="B10" t="s">
        <v>183</v>
      </c>
      <c r="C10">
        <v>1</v>
      </c>
      <c r="D10">
        <v>0.6</v>
      </c>
      <c r="E10">
        <v>0.3</v>
      </c>
      <c r="H10">
        <f t="array" ref="H10:J12">TRANSPOSE(C10:E12)</f>
        <v>1</v>
      </c>
      <c r="I10">
        <v>0</v>
      </c>
      <c r="J10">
        <v>0</v>
      </c>
      <c r="M10">
        <v>190</v>
      </c>
      <c r="N10">
        <v>420</v>
      </c>
      <c r="O10">
        <v>480</v>
      </c>
      <c r="Q10">
        <v>190</v>
      </c>
      <c r="R10">
        <v>450</v>
      </c>
      <c r="S10">
        <v>640.69219381653056</v>
      </c>
      <c r="U10">
        <v>190</v>
      </c>
      <c r="V10">
        <v>450</v>
      </c>
      <c r="W10">
        <v>640.69219381653056</v>
      </c>
      <c r="Y10">
        <v>150</v>
      </c>
      <c r="Z10">
        <v>482</v>
      </c>
      <c r="AA10">
        <v>691.33320996790815</v>
      </c>
    </row>
    <row r="11" spans="2:29">
      <c r="B11" t="s">
        <v>184</v>
      </c>
      <c r="C11">
        <v>0</v>
      </c>
      <c r="D11">
        <v>0.8</v>
      </c>
      <c r="E11">
        <v>0.39999999999999997</v>
      </c>
      <c r="H11">
        <v>0.6</v>
      </c>
      <c r="I11">
        <v>0.8</v>
      </c>
      <c r="J11">
        <v>0</v>
      </c>
      <c r="M11">
        <v>150</v>
      </c>
      <c r="N11">
        <v>490</v>
      </c>
      <c r="O11">
        <v>520</v>
      </c>
      <c r="Q11">
        <v>150</v>
      </c>
      <c r="R11">
        <v>482</v>
      </c>
      <c r="S11">
        <v>691.33320996790815</v>
      </c>
      <c r="U11">
        <v>150</v>
      </c>
      <c r="V11">
        <v>482</v>
      </c>
      <c r="W11">
        <v>691.33320996790815</v>
      </c>
      <c r="Y11">
        <v>200</v>
      </c>
      <c r="Z11">
        <v>528</v>
      </c>
      <c r="AA11">
        <v>748.97422611928573</v>
      </c>
    </row>
    <row r="12" spans="2:29">
      <c r="B12" t="s">
        <v>185</v>
      </c>
      <c r="C12">
        <v>0</v>
      </c>
      <c r="D12">
        <v>0</v>
      </c>
      <c r="E12">
        <v>0.86602540378443871</v>
      </c>
      <c r="H12">
        <v>0.3</v>
      </c>
      <c r="I12">
        <v>0.39999999999999997</v>
      </c>
      <c r="J12">
        <v>0.86602540378443871</v>
      </c>
      <c r="M12">
        <v>200</v>
      </c>
      <c r="N12">
        <v>510</v>
      </c>
      <c r="O12">
        <v>560</v>
      </c>
      <c r="Q12">
        <v>200</v>
      </c>
      <c r="R12">
        <v>528</v>
      </c>
      <c r="S12">
        <v>748.97422611928573</v>
      </c>
      <c r="U12">
        <v>200</v>
      </c>
      <c r="V12">
        <v>528</v>
      </c>
      <c r="W12">
        <v>748.97422611928573</v>
      </c>
      <c r="Y12">
        <v>250</v>
      </c>
      <c r="Z12">
        <v>638</v>
      </c>
      <c r="AA12">
        <v>838.6152422706632</v>
      </c>
    </row>
    <row r="13" spans="2:29">
      <c r="M13">
        <v>250</v>
      </c>
      <c r="N13">
        <v>610</v>
      </c>
      <c r="O13">
        <v>600</v>
      </c>
      <c r="Q13">
        <v>250</v>
      </c>
      <c r="R13">
        <v>638</v>
      </c>
      <c r="S13">
        <v>838.6152422706632</v>
      </c>
      <c r="U13">
        <v>250</v>
      </c>
      <c r="V13">
        <v>638</v>
      </c>
      <c r="W13">
        <v>838.6152422706632</v>
      </c>
    </row>
    <row r="15" spans="2:29">
      <c r="C15" t="e">
        <f t="array" ref="C15:E17">CholeskyDecompFunction(C4:E6)</f>
        <v>#VALUE!</v>
      </c>
      <c r="D15" t="e">
        <v>#VALUE!</v>
      </c>
      <c r="E15" t="e">
        <v>#VALUE!</v>
      </c>
      <c r="L15">
        <f>CORREL(M2:M13,O2:O13)</f>
        <v>0.77919163758714283</v>
      </c>
      <c r="M15">
        <f>CORREL(M2:M13,N2:N13)</f>
        <v>0.7682737678181627</v>
      </c>
      <c r="N15">
        <f>CORREL(N2:N13,O2:O13)</f>
        <v>0.99551394121731063</v>
      </c>
      <c r="O15">
        <f>CORREL(O2:O13,M2:M13)</f>
        <v>0.77919163758714283</v>
      </c>
      <c r="P15">
        <f>CORREL(Q2:Q13,S2:S13)</f>
        <v>0.81501181769593223</v>
      </c>
      <c r="Q15">
        <f>CORREL(Q2:Q13,R2:R13)</f>
        <v>0.86706061911999455</v>
      </c>
      <c r="R15">
        <f>CORREL(R2:R13,S2:S13)</f>
        <v>0.99385269613957627</v>
      </c>
      <c r="S15">
        <f>CORREL(S2:S13,Q2:Q13)</f>
        <v>0.81501181769593223</v>
      </c>
      <c r="T15">
        <f>CORREL(U2:U13,W2:W13)</f>
        <v>0.8139129689369119</v>
      </c>
      <c r="U15">
        <f>CORREL(U2:U13,V2:V13)</f>
        <v>0.86674678353445811</v>
      </c>
      <c r="V15">
        <f>CORREL(V2:V13,W2:W13)</f>
        <v>0.99373863651545979</v>
      </c>
      <c r="W15">
        <f>CORREL(W2:W13,U2:U13)</f>
        <v>0.8139129689369119</v>
      </c>
    </row>
    <row r="16" spans="2:29">
      <c r="C16" t="e">
        <v>#VALUE!</v>
      </c>
      <c r="D16" t="e">
        <v>#VALUE!</v>
      </c>
      <c r="E16" t="e">
        <v>#VALUE!</v>
      </c>
      <c r="L16">
        <v>13</v>
      </c>
      <c r="M16">
        <v>12</v>
      </c>
      <c r="N16">
        <v>23</v>
      </c>
      <c r="O16">
        <v>31</v>
      </c>
    </row>
    <row r="17" spans="3:19">
      <c r="C17" t="e">
        <v>#VALUE!</v>
      </c>
      <c r="D17" t="e">
        <v>#VALUE!</v>
      </c>
      <c r="E17" t="e">
        <v>#VALUE!</v>
      </c>
    </row>
    <row r="18" spans="3:19">
      <c r="Q18">
        <f t="array" ref="Q18:S28">MMULT(M3:O13,H10:J12)</f>
        <v>88</v>
      </c>
      <c r="R18">
        <v>64</v>
      </c>
      <c r="S18">
        <v>51.96152422706632</v>
      </c>
    </row>
    <row r="19" spans="3:19">
      <c r="Q19">
        <v>145</v>
      </c>
      <c r="R19">
        <v>100</v>
      </c>
      <c r="S19">
        <v>77.94228634059948</v>
      </c>
    </row>
    <row r="20" spans="3:19">
      <c r="Q20">
        <v>233</v>
      </c>
      <c r="R20">
        <v>164</v>
      </c>
      <c r="S20">
        <v>129.9038105676658</v>
      </c>
    </row>
    <row r="21" spans="3:19">
      <c r="Q21">
        <v>397</v>
      </c>
      <c r="R21">
        <v>276</v>
      </c>
      <c r="S21">
        <v>216.50635094610968</v>
      </c>
    </row>
    <row r="22" spans="3:19">
      <c r="Q22">
        <v>606</v>
      </c>
      <c r="R22">
        <v>408</v>
      </c>
      <c r="S22">
        <v>311.76914536239792</v>
      </c>
    </row>
    <row r="23" spans="3:19">
      <c r="Q23">
        <v>586</v>
      </c>
      <c r="R23">
        <v>448</v>
      </c>
      <c r="S23">
        <v>346.41016151377551</v>
      </c>
    </row>
    <row r="24" spans="3:19">
      <c r="Q24">
        <v>586</v>
      </c>
      <c r="R24">
        <v>488</v>
      </c>
      <c r="S24">
        <v>381.05117766515303</v>
      </c>
    </row>
    <row r="25" spans="3:19">
      <c r="Q25">
        <v>586</v>
      </c>
      <c r="R25">
        <v>528</v>
      </c>
      <c r="S25">
        <v>415.69219381653056</v>
      </c>
    </row>
    <row r="26" spans="3:19">
      <c r="Q26">
        <v>600</v>
      </c>
      <c r="R26">
        <v>600</v>
      </c>
      <c r="S26">
        <v>450.33320996790815</v>
      </c>
    </row>
    <row r="27" spans="3:19">
      <c r="Q27">
        <v>674</v>
      </c>
      <c r="R27">
        <v>632</v>
      </c>
      <c r="S27">
        <v>484.97422611928567</v>
      </c>
    </row>
    <row r="28" spans="3:19">
      <c r="Q28">
        <v>796</v>
      </c>
      <c r="R28">
        <v>728</v>
      </c>
      <c r="S28">
        <v>519.6152422706632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5"/>
  <sheetViews>
    <sheetView workbookViewId="0">
      <selection activeCell="G10" sqref="G10"/>
    </sheetView>
  </sheetViews>
  <sheetFormatPr defaultColWidth="9" defaultRowHeight="15"/>
  <cols>
    <col min="1" max="1" width="9.375" style="13" bestFit="1" customWidth="1"/>
    <col min="2" max="2" width="9.625" style="13" bestFit="1" customWidth="1"/>
    <col min="3" max="4" width="9" style="13"/>
    <col min="5" max="5" width="18.375" style="13" bestFit="1" customWidth="1"/>
    <col min="6" max="16384" width="9" style="13"/>
  </cols>
  <sheetData>
    <row r="1" spans="1:7">
      <c r="A1" s="13" t="s">
        <v>21</v>
      </c>
      <c r="B1" s="13" t="s">
        <v>22</v>
      </c>
      <c r="C1" s="27" t="s">
        <v>84</v>
      </c>
      <c r="E1" s="28" t="s">
        <v>85</v>
      </c>
    </row>
    <row r="2" spans="1:7">
      <c r="A2" s="14">
        <v>42800</v>
      </c>
      <c r="E2" s="13">
        <f>_xlfn.STDEV.P(C4:C55)</f>
        <v>4.9590077246121994E-2</v>
      </c>
    </row>
    <row r="3" spans="1:7">
      <c r="A3" s="14">
        <v>42807</v>
      </c>
      <c r="B3" s="13">
        <v>261.5</v>
      </c>
      <c r="E3" s="29">
        <f>E2</f>
        <v>4.9590077246121994E-2</v>
      </c>
    </row>
    <row r="4" spans="1:7">
      <c r="A4" s="14">
        <v>42814</v>
      </c>
      <c r="B4" s="13">
        <v>263.16000400000001</v>
      </c>
      <c r="C4" s="13">
        <f>LN(B4/B3)</f>
        <v>6.3279439126979363E-3</v>
      </c>
    </row>
    <row r="5" spans="1:7">
      <c r="A5" s="14">
        <v>42821</v>
      </c>
      <c r="B5" s="13">
        <v>278.29998799999998</v>
      </c>
      <c r="C5" s="13">
        <f t="shared" ref="C5:C55" si="0">LN(B5/B4)</f>
        <v>5.5937397995232258E-2</v>
      </c>
    </row>
    <row r="6" spans="1:7">
      <c r="A6" s="14">
        <v>42828</v>
      </c>
      <c r="B6" s="13">
        <v>302.540009</v>
      </c>
      <c r="C6" s="13">
        <f t="shared" si="0"/>
        <v>8.3513904469277644E-2</v>
      </c>
    </row>
    <row r="7" spans="1:7">
      <c r="A7" s="14">
        <v>42835</v>
      </c>
      <c r="B7" s="13">
        <v>304</v>
      </c>
      <c r="C7" s="13">
        <f t="shared" si="0"/>
        <v>4.8141715240365016E-3</v>
      </c>
    </row>
    <row r="8" spans="1:7">
      <c r="A8" s="14">
        <v>42842</v>
      </c>
      <c r="B8" s="13">
        <v>305.60000600000001</v>
      </c>
      <c r="C8" s="13">
        <f t="shared" si="0"/>
        <v>5.2493755196514605E-3</v>
      </c>
    </row>
    <row r="9" spans="1:7">
      <c r="A9" s="14">
        <v>42849</v>
      </c>
      <c r="B9" s="13">
        <v>314.07000699999998</v>
      </c>
      <c r="C9" s="13">
        <f t="shared" si="0"/>
        <v>2.7338836361524902E-2</v>
      </c>
    </row>
    <row r="10" spans="1:7">
      <c r="A10" s="14">
        <v>42856</v>
      </c>
      <c r="B10" s="13">
        <v>308.35000600000001</v>
      </c>
      <c r="C10" s="13">
        <f t="shared" si="0"/>
        <v>-1.8380392391488549E-2</v>
      </c>
      <c r="G10" s="30">
        <f ca="1">RANDBETWEEN(1, 20)</f>
        <v>18</v>
      </c>
    </row>
    <row r="11" spans="1:7">
      <c r="A11" s="14">
        <v>42863</v>
      </c>
      <c r="B11" s="13">
        <v>324.80999800000001</v>
      </c>
      <c r="C11" s="13">
        <f t="shared" si="0"/>
        <v>5.2004868937561441E-2</v>
      </c>
    </row>
    <row r="12" spans="1:7">
      <c r="A12" s="14">
        <v>42870</v>
      </c>
      <c r="B12" s="13">
        <v>310.82998700000002</v>
      </c>
      <c r="C12" s="13">
        <f t="shared" si="0"/>
        <v>-4.3994292725206205E-2</v>
      </c>
    </row>
    <row r="13" spans="1:7">
      <c r="A13" s="14">
        <v>42877</v>
      </c>
      <c r="B13" s="13">
        <v>325.14001500000001</v>
      </c>
      <c r="C13" s="13">
        <f t="shared" si="0"/>
        <v>4.5009807831785334E-2</v>
      </c>
    </row>
    <row r="14" spans="1:7">
      <c r="A14" s="14">
        <v>42884</v>
      </c>
      <c r="B14" s="13">
        <v>339.85000600000001</v>
      </c>
      <c r="C14" s="13">
        <f t="shared" si="0"/>
        <v>4.424845650744489E-2</v>
      </c>
    </row>
    <row r="15" spans="1:7">
      <c r="A15" s="14">
        <v>42891</v>
      </c>
      <c r="B15" s="13">
        <v>357.32000699999998</v>
      </c>
      <c r="C15" s="13">
        <f t="shared" si="0"/>
        <v>5.0127396976426417E-2</v>
      </c>
    </row>
    <row r="16" spans="1:7">
      <c r="A16" s="14">
        <v>42898</v>
      </c>
      <c r="B16" s="13">
        <v>371.39999399999999</v>
      </c>
      <c r="C16" s="13">
        <f t="shared" si="0"/>
        <v>3.8647874339595149E-2</v>
      </c>
    </row>
    <row r="17" spans="1:3">
      <c r="A17" s="14">
        <v>42905</v>
      </c>
      <c r="B17" s="13">
        <v>383.45001200000002</v>
      </c>
      <c r="C17" s="13">
        <f t="shared" si="0"/>
        <v>3.1929632742174599E-2</v>
      </c>
    </row>
    <row r="18" spans="1:3">
      <c r="A18" s="14">
        <v>42912</v>
      </c>
      <c r="B18" s="13">
        <v>361.60998499999999</v>
      </c>
      <c r="C18" s="13">
        <f t="shared" si="0"/>
        <v>-5.8643023983956391E-2</v>
      </c>
    </row>
    <row r="19" spans="1:3">
      <c r="A19" s="14">
        <v>42919</v>
      </c>
      <c r="B19" s="13">
        <v>313.22000100000002</v>
      </c>
      <c r="C19" s="13">
        <f t="shared" si="0"/>
        <v>-0.1436604192908027</v>
      </c>
    </row>
    <row r="20" spans="1:3">
      <c r="A20" s="14">
        <v>42926</v>
      </c>
      <c r="B20" s="13">
        <v>327.77999899999998</v>
      </c>
      <c r="C20" s="13">
        <f t="shared" si="0"/>
        <v>4.5436826353922322E-2</v>
      </c>
    </row>
    <row r="21" spans="1:3">
      <c r="A21" s="14">
        <v>42933</v>
      </c>
      <c r="B21" s="13">
        <v>328.39999399999999</v>
      </c>
      <c r="C21" s="13">
        <f t="shared" si="0"/>
        <v>1.8897107230165676E-3</v>
      </c>
    </row>
    <row r="22" spans="1:3">
      <c r="A22" s="14">
        <v>42940</v>
      </c>
      <c r="B22" s="13">
        <v>335.07000699999998</v>
      </c>
      <c r="C22" s="13">
        <f t="shared" si="0"/>
        <v>2.0107126804130727E-2</v>
      </c>
    </row>
    <row r="23" spans="1:3">
      <c r="A23" s="14">
        <v>42947</v>
      </c>
      <c r="B23" s="13">
        <v>356.91000400000001</v>
      </c>
      <c r="C23" s="13">
        <f t="shared" si="0"/>
        <v>6.3144174251849719E-2</v>
      </c>
    </row>
    <row r="24" spans="1:3">
      <c r="A24" s="14">
        <v>42954</v>
      </c>
      <c r="B24" s="13">
        <v>357.86999500000002</v>
      </c>
      <c r="C24" s="13">
        <f t="shared" si="0"/>
        <v>2.6861176265586834E-3</v>
      </c>
    </row>
    <row r="25" spans="1:3">
      <c r="A25" s="14">
        <v>42961</v>
      </c>
      <c r="B25" s="13">
        <v>347.459991</v>
      </c>
      <c r="C25" s="13">
        <f t="shared" si="0"/>
        <v>-2.9520253426919253E-2</v>
      </c>
    </row>
    <row r="26" spans="1:3">
      <c r="A26" s="14">
        <v>42968</v>
      </c>
      <c r="B26" s="13">
        <v>348.04998799999998</v>
      </c>
      <c r="C26" s="13">
        <f t="shared" si="0"/>
        <v>1.6965885733788606E-3</v>
      </c>
    </row>
    <row r="27" spans="1:3">
      <c r="A27" s="14">
        <v>42975</v>
      </c>
      <c r="B27" s="13">
        <v>355.39999399999999</v>
      </c>
      <c r="C27" s="13">
        <f t="shared" si="0"/>
        <v>2.0897785701294885E-2</v>
      </c>
    </row>
    <row r="28" spans="1:3">
      <c r="A28" s="14">
        <v>42982</v>
      </c>
      <c r="B28" s="13">
        <v>343.39999399999999</v>
      </c>
      <c r="C28" s="13">
        <f t="shared" si="0"/>
        <v>-3.4347967847125203E-2</v>
      </c>
    </row>
    <row r="29" spans="1:3">
      <c r="A29" s="14">
        <v>42989</v>
      </c>
      <c r="B29" s="13">
        <v>379.80999800000001</v>
      </c>
      <c r="C29" s="13">
        <f t="shared" si="0"/>
        <v>0.10077519142191887</v>
      </c>
    </row>
    <row r="30" spans="1:3">
      <c r="A30" s="14">
        <v>42996</v>
      </c>
      <c r="B30" s="13">
        <v>351.08999599999999</v>
      </c>
      <c r="C30" s="13">
        <f t="shared" si="0"/>
        <v>-7.8628532951264027E-2</v>
      </c>
    </row>
    <row r="31" spans="1:3">
      <c r="A31" s="14">
        <v>43003</v>
      </c>
      <c r="B31" s="13">
        <v>341.10000600000001</v>
      </c>
      <c r="C31" s="13">
        <f t="shared" si="0"/>
        <v>-2.8866882446944866E-2</v>
      </c>
    </row>
    <row r="32" spans="1:3">
      <c r="A32" s="14">
        <v>43010</v>
      </c>
      <c r="B32" s="13">
        <v>356.88000499999998</v>
      </c>
      <c r="C32" s="13">
        <f t="shared" si="0"/>
        <v>4.5223897815571408E-2</v>
      </c>
    </row>
    <row r="33" spans="1:3">
      <c r="A33" s="14">
        <v>43017</v>
      </c>
      <c r="B33" s="13">
        <v>355.57000699999998</v>
      </c>
      <c r="C33" s="13">
        <f t="shared" si="0"/>
        <v>-3.677449517195285E-3</v>
      </c>
    </row>
    <row r="34" spans="1:3">
      <c r="A34" s="14">
        <v>43024</v>
      </c>
      <c r="B34" s="13">
        <v>345.10000600000001</v>
      </c>
      <c r="C34" s="13">
        <f t="shared" si="0"/>
        <v>-2.9887907822903126E-2</v>
      </c>
    </row>
    <row r="35" spans="1:3">
      <c r="A35" s="14">
        <v>43031</v>
      </c>
      <c r="B35" s="13">
        <v>320.86999500000002</v>
      </c>
      <c r="C35" s="13">
        <f t="shared" si="0"/>
        <v>-7.2798206394856693E-2</v>
      </c>
    </row>
    <row r="36" spans="1:3">
      <c r="A36" s="14">
        <v>43038</v>
      </c>
      <c r="B36" s="13">
        <v>306.08999599999999</v>
      </c>
      <c r="C36" s="13">
        <f t="shared" si="0"/>
        <v>-4.7156877808094383E-2</v>
      </c>
    </row>
    <row r="37" spans="1:3">
      <c r="A37" s="14">
        <v>43045</v>
      </c>
      <c r="B37" s="13">
        <v>302.98998999999998</v>
      </c>
      <c r="C37" s="13">
        <f t="shared" si="0"/>
        <v>-1.0179394627243458E-2</v>
      </c>
    </row>
    <row r="38" spans="1:3">
      <c r="A38" s="14">
        <v>43052</v>
      </c>
      <c r="B38" s="13">
        <v>315.04998799999998</v>
      </c>
      <c r="C38" s="13">
        <f t="shared" si="0"/>
        <v>3.9031549638843595E-2</v>
      </c>
    </row>
    <row r="39" spans="1:3">
      <c r="A39" s="14">
        <v>43059</v>
      </c>
      <c r="B39" s="13">
        <v>315.54998799999998</v>
      </c>
      <c r="C39" s="13">
        <f t="shared" si="0"/>
        <v>1.585791702537696E-3</v>
      </c>
    </row>
    <row r="40" spans="1:3">
      <c r="A40" s="14">
        <v>43066</v>
      </c>
      <c r="B40" s="13">
        <v>306.52999899999998</v>
      </c>
      <c r="C40" s="13">
        <f t="shared" si="0"/>
        <v>-2.9001483395112465E-2</v>
      </c>
    </row>
    <row r="41" spans="1:3">
      <c r="A41" s="14">
        <v>43073</v>
      </c>
      <c r="B41" s="13">
        <v>315.13000499999998</v>
      </c>
      <c r="C41" s="13">
        <f t="shared" si="0"/>
        <v>2.766964136193549E-2</v>
      </c>
    </row>
    <row r="42" spans="1:3">
      <c r="A42" s="14">
        <v>43080</v>
      </c>
      <c r="B42" s="13">
        <v>343.45001200000002</v>
      </c>
      <c r="C42" s="13">
        <f t="shared" si="0"/>
        <v>8.6056307631241419E-2</v>
      </c>
    </row>
    <row r="43" spans="1:3">
      <c r="A43" s="14">
        <v>43087</v>
      </c>
      <c r="B43" s="13">
        <v>325.20001200000002</v>
      </c>
      <c r="C43" s="13">
        <f t="shared" si="0"/>
        <v>-5.4601161025449832E-2</v>
      </c>
    </row>
    <row r="44" spans="1:3">
      <c r="A44" s="14">
        <v>43094</v>
      </c>
      <c r="B44" s="13">
        <v>311.35000600000001</v>
      </c>
      <c r="C44" s="13">
        <f t="shared" si="0"/>
        <v>-4.3522713984646126E-2</v>
      </c>
    </row>
    <row r="45" spans="1:3">
      <c r="A45" s="14">
        <v>43101</v>
      </c>
      <c r="B45" s="13">
        <v>316.57998700000002</v>
      </c>
      <c r="C45" s="13">
        <f t="shared" si="0"/>
        <v>1.665823260434366E-2</v>
      </c>
    </row>
    <row r="46" spans="1:3">
      <c r="A46" s="14">
        <v>43108</v>
      </c>
      <c r="B46" s="13">
        <v>336.22000100000002</v>
      </c>
      <c r="C46" s="13">
        <f t="shared" si="0"/>
        <v>6.0189777385434295E-2</v>
      </c>
    </row>
    <row r="47" spans="1:3">
      <c r="A47" s="14">
        <v>43115</v>
      </c>
      <c r="B47" s="13">
        <v>350.01998900000001</v>
      </c>
      <c r="C47" s="13">
        <f t="shared" si="0"/>
        <v>4.0224553702079453E-2</v>
      </c>
    </row>
    <row r="48" spans="1:3">
      <c r="A48" s="14">
        <v>43122</v>
      </c>
      <c r="B48" s="13">
        <v>342.85000600000001</v>
      </c>
      <c r="C48" s="13">
        <f t="shared" si="0"/>
        <v>-2.0697213050497421E-2</v>
      </c>
    </row>
    <row r="49" spans="1:3">
      <c r="A49" s="14">
        <v>43129</v>
      </c>
      <c r="B49" s="13">
        <v>343.75</v>
      </c>
      <c r="C49" s="13">
        <f t="shared" si="0"/>
        <v>2.6215977500430457E-3</v>
      </c>
    </row>
    <row r="50" spans="1:3">
      <c r="A50" s="14">
        <v>43136</v>
      </c>
      <c r="B50" s="13">
        <v>310.42001299999998</v>
      </c>
      <c r="C50" s="13">
        <f t="shared" si="0"/>
        <v>-0.10198838787899857</v>
      </c>
    </row>
    <row r="51" spans="1:3">
      <c r="A51" s="14">
        <v>43143</v>
      </c>
      <c r="B51" s="13">
        <v>335.48998999999998</v>
      </c>
      <c r="C51" s="13">
        <f t="shared" si="0"/>
        <v>7.7665858799275844E-2</v>
      </c>
    </row>
    <row r="52" spans="1:3">
      <c r="A52" s="14">
        <v>43150</v>
      </c>
      <c r="B52" s="13">
        <v>352.04998799999998</v>
      </c>
      <c r="C52" s="13">
        <f t="shared" si="0"/>
        <v>4.8181056978015925E-2</v>
      </c>
    </row>
    <row r="53" spans="1:3">
      <c r="A53" s="14">
        <v>43157</v>
      </c>
      <c r="B53" s="13">
        <v>335.11999500000002</v>
      </c>
      <c r="C53" s="13">
        <f t="shared" si="0"/>
        <v>-4.9284515160323568E-2</v>
      </c>
    </row>
    <row r="54" spans="1:3">
      <c r="A54" s="14">
        <v>43164</v>
      </c>
      <c r="B54" s="13">
        <v>327.17001299999998</v>
      </c>
      <c r="C54" s="13">
        <f t="shared" si="0"/>
        <v>-2.4008708500543628E-2</v>
      </c>
    </row>
    <row r="55" spans="1:3">
      <c r="A55" s="14">
        <v>43168</v>
      </c>
      <c r="B55" s="13">
        <v>327.17001299999998</v>
      </c>
      <c r="C55" s="13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2" tint="-0.249977111117893"/>
  </sheetPr>
  <dimension ref="A1:E21"/>
  <sheetViews>
    <sheetView zoomScale="70" zoomScaleNormal="70" workbookViewId="0">
      <selection activeCell="H5" sqref="H5"/>
    </sheetView>
  </sheetViews>
  <sheetFormatPr defaultColWidth="7.75" defaultRowHeight="15"/>
  <cols>
    <col min="1" max="3" width="7.75" style="86"/>
    <col min="4" max="4" width="11.75" style="86" bestFit="1" customWidth="1"/>
    <col min="5" max="16384" width="7.75" style="86"/>
  </cols>
  <sheetData>
    <row r="1" spans="1:4">
      <c r="A1" s="86" t="s">
        <v>101</v>
      </c>
      <c r="B1" s="86">
        <v>100</v>
      </c>
    </row>
    <row r="2" spans="1:4">
      <c r="A2" s="86" t="s">
        <v>188</v>
      </c>
      <c r="B2" s="86">
        <v>90</v>
      </c>
    </row>
    <row r="3" spans="1:4">
      <c r="A3" s="86" t="s">
        <v>105</v>
      </c>
      <c r="B3" s="86">
        <v>0.05</v>
      </c>
    </row>
    <row r="4" spans="1:4">
      <c r="A4" s="86" t="s">
        <v>189</v>
      </c>
      <c r="B4" s="86">
        <v>0.01</v>
      </c>
    </row>
    <row r="5" spans="1:4">
      <c r="A5" s="86" t="s">
        <v>184</v>
      </c>
      <c r="B5" s="86">
        <f>B3-B4</f>
        <v>0.04</v>
      </c>
    </row>
    <row r="6" spans="1:4">
      <c r="A6" s="86" t="s">
        <v>190</v>
      </c>
      <c r="B6" s="86">
        <v>0.3</v>
      </c>
    </row>
    <row r="7" spans="1:4">
      <c r="A7" s="86" t="s">
        <v>191</v>
      </c>
      <c r="B7" s="86">
        <v>1</v>
      </c>
    </row>
    <row r="8" spans="1:4">
      <c r="A8" s="86" t="s">
        <v>192</v>
      </c>
      <c r="B8" s="86">
        <v>124.87265023697684</v>
      </c>
      <c r="D8" s="86">
        <f>S_star(B2,B7,B3,B4,B6)</f>
        <v>556.34293544720981</v>
      </c>
    </row>
    <row r="10" spans="1:4">
      <c r="A10" s="86" t="s">
        <v>193</v>
      </c>
      <c r="B10" s="86">
        <f>2*B3/B6^2</f>
        <v>1.1111111111111112</v>
      </c>
    </row>
    <row r="11" spans="1:4">
      <c r="A11" s="86" t="s">
        <v>194</v>
      </c>
      <c r="B11" s="86">
        <f>2*B5/B6^2</f>
        <v>0.88888888888888895</v>
      </c>
    </row>
    <row r="12" spans="1:4">
      <c r="A12" s="86" t="s">
        <v>103</v>
      </c>
      <c r="B12" s="86">
        <f>1-EXP(-B3*B7)</f>
        <v>4.8770575499285984E-2</v>
      </c>
    </row>
    <row r="13" spans="1:4">
      <c r="A13" s="86" t="s">
        <v>195</v>
      </c>
      <c r="B13" s="86">
        <f>(-(B11-1)+SQRT((B11-1)^2+4*B10/B12))/2</f>
        <v>4.8289708563931795</v>
      </c>
    </row>
    <row r="14" spans="1:4">
      <c r="A14" s="86" t="s">
        <v>165</v>
      </c>
      <c r="B14" s="86">
        <f>(LN(B8/B2)+(B5+0.5*B6^2)*B7)/(B6*SQRT(B7))</f>
        <v>1.3749491651343524</v>
      </c>
    </row>
    <row r="15" spans="1:4">
      <c r="A15" s="86" t="s">
        <v>196</v>
      </c>
      <c r="B15" s="86">
        <f>_xlfn.NORM.S.DIST(B14,1)</f>
        <v>0.91542639734557407</v>
      </c>
    </row>
    <row r="16" spans="1:4">
      <c r="A16" s="86" t="s">
        <v>197</v>
      </c>
      <c r="B16" s="86">
        <f>(B8/B13)*(1-EXP(B5-B3)*B15)</f>
        <v>2.4225349195876196</v>
      </c>
    </row>
    <row r="18" spans="1:5">
      <c r="A18" s="86" t="s">
        <v>198</v>
      </c>
      <c r="B18" s="86">
        <f>B8-B2</f>
        <v>34.872650236976838</v>
      </c>
    </row>
    <row r="19" spans="1:5">
      <c r="A19" s="86" t="s">
        <v>199</v>
      </c>
      <c r="B19" s="86" t="e">
        <f ca="1">BS_call(B8,B2,B3,B6,B4,B7)+(1-EXP(B5-B3)*B15)*B8*1/B13</f>
        <v>#NAME?</v>
      </c>
    </row>
    <row r="20" spans="1:5">
      <c r="D20" s="86" t="s">
        <v>200</v>
      </c>
      <c r="E20" s="86" t="e">
        <f ca="1">IF(B1&lt;B8,BS_call(B1,B2,B3,B6,B4,B7)+B16*(B1/B8)^B13,B1-B2)</f>
        <v>#NAME?</v>
      </c>
    </row>
    <row r="21" spans="1:5">
      <c r="A21" s="86" t="s">
        <v>201</v>
      </c>
      <c r="B21" s="86" t="e">
        <f ca="1">B18-B19</f>
        <v>#NAME?</v>
      </c>
      <c r="D21" s="86" t="s">
        <v>202</v>
      </c>
      <c r="E21" s="86" t="e">
        <f ca="1">BS_call(B1,B2,B3,B6,B4,B7)</f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2" tint="-0.249977111117893"/>
  </sheetPr>
  <dimension ref="A1:H252"/>
  <sheetViews>
    <sheetView zoomScale="70" zoomScaleNormal="70" workbookViewId="0">
      <selection activeCell="H5" sqref="H5"/>
    </sheetView>
  </sheetViews>
  <sheetFormatPr defaultColWidth="7.75" defaultRowHeight="15"/>
  <cols>
    <col min="1" max="5" width="7.75" style="86"/>
    <col min="6" max="8" width="8.75" style="86" bestFit="1" customWidth="1"/>
    <col min="9" max="9" width="7.75" style="86"/>
    <col min="10" max="12" width="8.75" style="86" bestFit="1" customWidth="1"/>
    <col min="13" max="16384" width="7.75" style="86"/>
  </cols>
  <sheetData>
    <row r="1" spans="1:3">
      <c r="A1" s="86" t="s">
        <v>78</v>
      </c>
      <c r="B1" s="86" t="s">
        <v>203</v>
      </c>
      <c r="C1" s="86" t="s">
        <v>204</v>
      </c>
    </row>
    <row r="2" spans="1:3">
      <c r="A2" s="86">
        <v>0</v>
      </c>
      <c r="B2" s="86">
        <v>100</v>
      </c>
      <c r="C2" s="86">
        <v>80</v>
      </c>
    </row>
    <row r="3" spans="1:3">
      <c r="A3" s="86">
        <v>1</v>
      </c>
      <c r="B3" s="86">
        <v>101.03267725867526</v>
      </c>
      <c r="C3" s="86">
        <v>80.799339517611614</v>
      </c>
    </row>
    <row r="4" spans="1:3">
      <c r="A4" s="86">
        <v>2</v>
      </c>
      <c r="B4" s="86">
        <v>101.42010017509639</v>
      </c>
      <c r="C4" s="86">
        <v>80.707221230135744</v>
      </c>
    </row>
    <row r="5" spans="1:3">
      <c r="A5" s="86">
        <v>3</v>
      </c>
      <c r="B5" s="86">
        <v>100.42866214361368</v>
      </c>
      <c r="C5" s="86">
        <v>80.497747982472134</v>
      </c>
    </row>
    <row r="6" spans="1:3">
      <c r="A6" s="86">
        <v>4</v>
      </c>
      <c r="B6" s="86">
        <v>96.330640205075611</v>
      </c>
      <c r="C6" s="86">
        <v>77.991263750135886</v>
      </c>
    </row>
    <row r="7" spans="1:3">
      <c r="A7" s="86">
        <v>5</v>
      </c>
      <c r="B7" s="86">
        <v>97.981590587362788</v>
      </c>
      <c r="C7" s="86">
        <v>79.554806136619561</v>
      </c>
    </row>
    <row r="8" spans="1:3">
      <c r="A8" s="86">
        <v>6</v>
      </c>
      <c r="B8" s="86">
        <v>94.888459423907562</v>
      </c>
      <c r="C8" s="86">
        <v>77.152362601898048</v>
      </c>
    </row>
    <row r="9" spans="1:3">
      <c r="A9" s="86">
        <v>7</v>
      </c>
      <c r="B9" s="86">
        <v>96.877222813492438</v>
      </c>
      <c r="C9" s="86">
        <v>79.133440186209526</v>
      </c>
    </row>
    <row r="10" spans="1:3">
      <c r="A10" s="86">
        <v>8</v>
      </c>
      <c r="B10" s="86">
        <v>96.288162227649735</v>
      </c>
      <c r="C10" s="86">
        <v>79.863475196007755</v>
      </c>
    </row>
    <row r="11" spans="1:3">
      <c r="A11" s="86">
        <v>9</v>
      </c>
      <c r="B11" s="86">
        <v>98.382932147036399</v>
      </c>
      <c r="C11" s="86">
        <v>80.363796234507461</v>
      </c>
    </row>
    <row r="12" spans="1:3">
      <c r="A12" s="86">
        <v>10</v>
      </c>
      <c r="B12" s="86">
        <v>101.49555077249906</v>
      </c>
      <c r="C12" s="86">
        <v>82.411311737899368</v>
      </c>
    </row>
    <row r="13" spans="1:3">
      <c r="A13" s="86">
        <v>11</v>
      </c>
      <c r="B13" s="86">
        <v>101.61777498218976</v>
      </c>
      <c r="C13" s="86">
        <v>82.999953531902648</v>
      </c>
    </row>
    <row r="14" spans="1:3">
      <c r="A14" s="86">
        <v>12</v>
      </c>
      <c r="B14" s="86">
        <v>98.559165038256793</v>
      </c>
      <c r="C14" s="86">
        <v>80.904624105219511</v>
      </c>
    </row>
    <row r="15" spans="1:3">
      <c r="A15" s="86">
        <v>13</v>
      </c>
      <c r="B15" s="86">
        <v>98.414374644605985</v>
      </c>
      <c r="C15" s="86">
        <v>80.444630578436232</v>
      </c>
    </row>
    <row r="16" spans="1:3">
      <c r="A16" s="86">
        <v>14</v>
      </c>
      <c r="B16" s="86">
        <v>99.001746871134699</v>
      </c>
      <c r="C16" s="86">
        <v>81.130977589934673</v>
      </c>
    </row>
    <row r="17" spans="1:8">
      <c r="A17" s="86">
        <v>15</v>
      </c>
      <c r="B17" s="86">
        <v>97.824192701889501</v>
      </c>
      <c r="C17" s="86">
        <v>79.874872050789762</v>
      </c>
    </row>
    <row r="18" spans="1:8">
      <c r="A18" s="86">
        <v>16</v>
      </c>
      <c r="B18" s="86">
        <v>99.611842642592308</v>
      </c>
      <c r="C18" s="86">
        <v>81.816443067060348</v>
      </c>
      <c r="F18" s="86" t="s">
        <v>183</v>
      </c>
      <c r="G18" s="86" t="s">
        <v>184</v>
      </c>
      <c r="H18" s="86" t="s">
        <v>185</v>
      </c>
    </row>
    <row r="19" spans="1:8">
      <c r="A19" s="86">
        <v>17</v>
      </c>
      <c r="B19" s="86">
        <v>100.04074775059966</v>
      </c>
      <c r="C19" s="86">
        <v>83.641621587952201</v>
      </c>
      <c r="E19" s="86" t="s">
        <v>183</v>
      </c>
      <c r="F19" s="87">
        <v>1</v>
      </c>
      <c r="G19" s="87">
        <v>0.6</v>
      </c>
      <c r="H19" s="87">
        <v>0.3</v>
      </c>
    </row>
    <row r="20" spans="1:8">
      <c r="A20" s="86">
        <v>18</v>
      </c>
      <c r="B20" s="86">
        <v>102.6319964033589</v>
      </c>
      <c r="C20" s="86">
        <v>85.060429233811277</v>
      </c>
      <c r="E20" s="86" t="s">
        <v>184</v>
      </c>
      <c r="F20" s="87">
        <v>0.6</v>
      </c>
      <c r="G20" s="87">
        <v>1</v>
      </c>
      <c r="H20" s="87">
        <v>0.5</v>
      </c>
    </row>
    <row r="21" spans="1:8">
      <c r="A21" s="86">
        <v>19</v>
      </c>
      <c r="B21" s="86">
        <v>103.6328081321201</v>
      </c>
      <c r="C21" s="86">
        <v>87.276712331175275</v>
      </c>
      <c r="E21" s="86" t="s">
        <v>185</v>
      </c>
      <c r="F21" s="87">
        <v>0.3</v>
      </c>
      <c r="G21" s="87">
        <v>0.5</v>
      </c>
      <c r="H21" s="87">
        <v>1</v>
      </c>
    </row>
    <row r="22" spans="1:8">
      <c r="A22" s="86">
        <v>20</v>
      </c>
      <c r="B22" s="86">
        <v>102.27974903624116</v>
      </c>
      <c r="C22" s="86">
        <v>86.311314871968406</v>
      </c>
    </row>
    <row r="23" spans="1:8">
      <c r="A23" s="86">
        <v>21</v>
      </c>
      <c r="B23" s="86">
        <v>99.891961247870242</v>
      </c>
      <c r="C23" s="86">
        <v>86.794851353687079</v>
      </c>
    </row>
    <row r="24" spans="1:8">
      <c r="A24" s="86">
        <v>22</v>
      </c>
      <c r="B24" s="86">
        <v>100.76396306458034</v>
      </c>
      <c r="C24" s="86">
        <v>85.933595388548454</v>
      </c>
      <c r="F24" s="86">
        <f t="array" ref="F24:H26">Cholesky(F19:H21)</f>
        <v>1</v>
      </c>
      <c r="G24" s="86">
        <v>0.6</v>
      </c>
      <c r="H24" s="86">
        <v>0.3</v>
      </c>
    </row>
    <row r="25" spans="1:8">
      <c r="A25" s="86">
        <v>23</v>
      </c>
      <c r="B25" s="86">
        <v>101.12910342932668</v>
      </c>
      <c r="C25" s="86">
        <v>85.305231563659362</v>
      </c>
      <c r="F25" s="86">
        <v>0</v>
      </c>
      <c r="G25" s="86">
        <v>0.8</v>
      </c>
      <c r="H25" s="86">
        <v>0.39999999999999997</v>
      </c>
    </row>
    <row r="26" spans="1:8">
      <c r="A26" s="86">
        <v>24</v>
      </c>
      <c r="B26" s="86">
        <v>98.733615270777889</v>
      </c>
      <c r="C26" s="86">
        <v>84.064992181682157</v>
      </c>
      <c r="F26" s="86">
        <v>0</v>
      </c>
      <c r="G26" s="86">
        <v>0</v>
      </c>
      <c r="H26" s="86">
        <v>0.86602540378443871</v>
      </c>
    </row>
    <row r="27" spans="1:8">
      <c r="A27" s="86">
        <v>25</v>
      </c>
      <c r="B27" s="86">
        <v>97.674291838929818</v>
      </c>
      <c r="C27" s="86">
        <v>82.098397331953095</v>
      </c>
    </row>
    <row r="28" spans="1:8">
      <c r="A28" s="86">
        <v>26</v>
      </c>
      <c r="B28" s="86">
        <v>96.686827202177668</v>
      </c>
      <c r="C28" s="86">
        <v>81.149455072632591</v>
      </c>
    </row>
    <row r="29" spans="1:8">
      <c r="A29" s="86">
        <v>27</v>
      </c>
      <c r="B29" s="86">
        <v>95.736563682833975</v>
      </c>
      <c r="C29" s="86">
        <v>81.523859486157278</v>
      </c>
    </row>
    <row r="30" spans="1:8">
      <c r="A30" s="86">
        <v>28</v>
      </c>
      <c r="B30" s="86">
        <v>99.536141864958807</v>
      </c>
      <c r="C30" s="86">
        <v>84.256045179939846</v>
      </c>
    </row>
    <row r="31" spans="1:8">
      <c r="A31" s="86">
        <v>29</v>
      </c>
      <c r="B31" s="86">
        <v>98.433882427515755</v>
      </c>
      <c r="C31" s="86">
        <v>82.733993121876225</v>
      </c>
    </row>
    <row r="32" spans="1:8">
      <c r="A32" s="86">
        <v>30</v>
      </c>
      <c r="B32" s="86">
        <v>96.617061205250593</v>
      </c>
      <c r="C32" s="86">
        <v>81.612014884193471</v>
      </c>
    </row>
    <row r="33" spans="1:3">
      <c r="A33" s="86">
        <v>31</v>
      </c>
      <c r="B33" s="86">
        <v>96.203097327340231</v>
      </c>
      <c r="C33" s="86">
        <v>81.149327237343627</v>
      </c>
    </row>
    <row r="34" spans="1:3">
      <c r="A34" s="86">
        <v>32</v>
      </c>
      <c r="B34" s="86">
        <v>97.235218412330639</v>
      </c>
      <c r="C34" s="86">
        <v>81.62798616727207</v>
      </c>
    </row>
    <row r="35" spans="1:3">
      <c r="A35" s="86">
        <v>33</v>
      </c>
      <c r="B35" s="86">
        <v>97.867000712164</v>
      </c>
      <c r="C35" s="86">
        <v>81.553830115421491</v>
      </c>
    </row>
    <row r="36" spans="1:3">
      <c r="A36" s="86">
        <v>34</v>
      </c>
      <c r="B36" s="86">
        <v>96.225265201228964</v>
      </c>
      <c r="C36" s="86">
        <v>80.461632197858236</v>
      </c>
    </row>
    <row r="37" spans="1:3">
      <c r="A37" s="86">
        <v>35</v>
      </c>
      <c r="B37" s="86">
        <v>93.704245477309712</v>
      </c>
      <c r="C37" s="86">
        <v>78.493508959395442</v>
      </c>
    </row>
    <row r="38" spans="1:3">
      <c r="A38" s="86">
        <v>36</v>
      </c>
      <c r="B38" s="86">
        <v>96.073368038102174</v>
      </c>
      <c r="C38" s="86">
        <v>79.854307465491146</v>
      </c>
    </row>
    <row r="39" spans="1:3">
      <c r="A39" s="86">
        <v>37</v>
      </c>
      <c r="B39" s="86">
        <v>97.526076483904802</v>
      </c>
      <c r="C39" s="86">
        <v>80.734209195048237</v>
      </c>
    </row>
    <row r="40" spans="1:3">
      <c r="A40" s="86">
        <v>38</v>
      </c>
      <c r="B40" s="86">
        <v>96.507573304968133</v>
      </c>
      <c r="C40" s="86">
        <v>80.90712623396692</v>
      </c>
    </row>
    <row r="41" spans="1:3">
      <c r="A41" s="86">
        <v>39</v>
      </c>
      <c r="B41" s="86">
        <v>97.127600914206369</v>
      </c>
      <c r="C41" s="86">
        <v>81.594395096235019</v>
      </c>
    </row>
    <row r="42" spans="1:3">
      <c r="A42" s="86">
        <v>40</v>
      </c>
      <c r="B42" s="86">
        <v>96.797825568733472</v>
      </c>
      <c r="C42" s="86">
        <v>80.479817579934064</v>
      </c>
    </row>
    <row r="43" spans="1:3">
      <c r="A43" s="86">
        <v>41</v>
      </c>
      <c r="B43" s="86">
        <v>97.082294388079717</v>
      </c>
      <c r="C43" s="86">
        <v>81.032949310705263</v>
      </c>
    </row>
    <row r="44" spans="1:3">
      <c r="A44" s="86">
        <v>42</v>
      </c>
      <c r="B44" s="86">
        <v>99.629594880279626</v>
      </c>
      <c r="C44" s="86">
        <v>83.614614819095522</v>
      </c>
    </row>
    <row r="45" spans="1:3">
      <c r="A45" s="86">
        <v>43</v>
      </c>
      <c r="B45" s="86">
        <v>95.917584945868668</v>
      </c>
      <c r="C45" s="86">
        <v>80.878503469963405</v>
      </c>
    </row>
    <row r="46" spans="1:3">
      <c r="A46" s="86">
        <v>44</v>
      </c>
      <c r="B46" s="86">
        <v>98.463678148191462</v>
      </c>
      <c r="C46" s="86">
        <v>82.688078454527442</v>
      </c>
    </row>
    <row r="47" spans="1:3">
      <c r="A47" s="86">
        <v>45</v>
      </c>
      <c r="B47" s="86">
        <v>99.332513868160547</v>
      </c>
      <c r="C47" s="86">
        <v>83.348866167083543</v>
      </c>
    </row>
    <row r="48" spans="1:3">
      <c r="A48" s="86">
        <v>46</v>
      </c>
      <c r="B48" s="86">
        <v>99.399435226328649</v>
      </c>
      <c r="C48" s="86">
        <v>83.335495880214623</v>
      </c>
    </row>
    <row r="49" spans="1:3">
      <c r="A49" s="86">
        <v>47</v>
      </c>
      <c r="B49" s="86">
        <v>98.694878776891301</v>
      </c>
      <c r="C49" s="86">
        <v>82.639070536279533</v>
      </c>
    </row>
    <row r="50" spans="1:3">
      <c r="A50" s="86">
        <v>48</v>
      </c>
      <c r="B50" s="86">
        <v>97.554416732558295</v>
      </c>
      <c r="C50" s="86">
        <v>80.709018888668638</v>
      </c>
    </row>
    <row r="51" spans="1:3">
      <c r="A51" s="86">
        <v>49</v>
      </c>
      <c r="B51" s="86">
        <v>96.280216749945552</v>
      </c>
      <c r="C51" s="86">
        <v>81.113586469104888</v>
      </c>
    </row>
    <row r="52" spans="1:3">
      <c r="A52" s="86">
        <v>50</v>
      </c>
      <c r="B52" s="86">
        <v>93.496890838562862</v>
      </c>
      <c r="C52" s="86">
        <v>78.81847743297844</v>
      </c>
    </row>
    <row r="53" spans="1:3">
      <c r="A53" s="86">
        <v>51</v>
      </c>
      <c r="B53" s="86">
        <v>92.888481961041535</v>
      </c>
      <c r="C53" s="86">
        <v>78.340465189236795</v>
      </c>
    </row>
    <row r="54" spans="1:3">
      <c r="A54" s="86">
        <v>52</v>
      </c>
      <c r="B54" s="86">
        <v>91.122968273640524</v>
      </c>
      <c r="C54" s="86">
        <v>76.958447637060161</v>
      </c>
    </row>
    <row r="55" spans="1:3">
      <c r="A55" s="86">
        <v>53</v>
      </c>
      <c r="B55" s="86">
        <v>90.004800584293776</v>
      </c>
      <c r="C55" s="86">
        <v>76.315242076012368</v>
      </c>
    </row>
    <row r="56" spans="1:3">
      <c r="A56" s="86">
        <v>54</v>
      </c>
      <c r="B56" s="86">
        <v>90.187207008762101</v>
      </c>
      <c r="C56" s="86">
        <v>75.818744790406086</v>
      </c>
    </row>
    <row r="57" spans="1:3">
      <c r="A57" s="86">
        <v>55</v>
      </c>
      <c r="B57" s="86">
        <v>92.867875256397753</v>
      </c>
      <c r="C57" s="86">
        <v>78.100479995909808</v>
      </c>
    </row>
    <row r="58" spans="1:3">
      <c r="A58" s="86">
        <v>56</v>
      </c>
      <c r="B58" s="86">
        <v>92.896624705906078</v>
      </c>
      <c r="C58" s="86">
        <v>77.942926587016728</v>
      </c>
    </row>
    <row r="59" spans="1:3">
      <c r="A59" s="86">
        <v>57</v>
      </c>
      <c r="B59" s="86">
        <v>90.737292293416303</v>
      </c>
      <c r="C59" s="86">
        <v>76.808123602416686</v>
      </c>
    </row>
    <row r="60" spans="1:3">
      <c r="A60" s="86">
        <v>58</v>
      </c>
      <c r="B60" s="86">
        <v>90.564804566852473</v>
      </c>
      <c r="C60" s="86">
        <v>77.1132103627926</v>
      </c>
    </row>
    <row r="61" spans="1:3">
      <c r="A61" s="86">
        <v>59</v>
      </c>
      <c r="B61" s="86">
        <v>90.985579930091831</v>
      </c>
      <c r="C61" s="86">
        <v>78.056231539973936</v>
      </c>
    </row>
    <row r="62" spans="1:3">
      <c r="A62" s="86">
        <v>60</v>
      </c>
      <c r="B62" s="86">
        <v>87.466335467727419</v>
      </c>
      <c r="C62" s="86">
        <v>74.833845495397853</v>
      </c>
    </row>
    <row r="63" spans="1:3">
      <c r="A63" s="86">
        <v>61</v>
      </c>
      <c r="B63" s="86">
        <v>85.099379729006387</v>
      </c>
      <c r="C63" s="86">
        <v>72.257381141111821</v>
      </c>
    </row>
    <row r="64" spans="1:3">
      <c r="A64" s="86">
        <v>62</v>
      </c>
      <c r="B64" s="86">
        <v>84.401203804229311</v>
      </c>
      <c r="C64" s="86">
        <v>71.053827794508493</v>
      </c>
    </row>
    <row r="65" spans="1:3">
      <c r="A65" s="86">
        <v>63</v>
      </c>
      <c r="B65" s="86">
        <v>78.994440186725541</v>
      </c>
      <c r="C65" s="86">
        <v>66.995122176019322</v>
      </c>
    </row>
    <row r="66" spans="1:3">
      <c r="A66" s="86">
        <v>64</v>
      </c>
      <c r="B66" s="86">
        <v>79.604542608010874</v>
      </c>
      <c r="C66" s="86">
        <v>67.522470533402</v>
      </c>
    </row>
    <row r="67" spans="1:3">
      <c r="A67" s="86">
        <v>65</v>
      </c>
      <c r="B67" s="86">
        <v>81.044797018008623</v>
      </c>
      <c r="C67" s="86">
        <v>67.835395018688814</v>
      </c>
    </row>
    <row r="68" spans="1:3">
      <c r="A68" s="86">
        <v>66</v>
      </c>
      <c r="B68" s="86">
        <v>79.718297890329822</v>
      </c>
      <c r="C68" s="86">
        <v>67.092780792905472</v>
      </c>
    </row>
    <row r="69" spans="1:3">
      <c r="A69" s="86">
        <v>67</v>
      </c>
      <c r="B69" s="86">
        <v>79.546079296251733</v>
      </c>
      <c r="C69" s="86">
        <v>66.759828466675202</v>
      </c>
    </row>
    <row r="70" spans="1:3">
      <c r="A70" s="86">
        <v>68</v>
      </c>
      <c r="B70" s="86">
        <v>77.998530520114983</v>
      </c>
      <c r="C70" s="86">
        <v>65.881892128667204</v>
      </c>
    </row>
    <row r="71" spans="1:3">
      <c r="A71" s="86">
        <v>69</v>
      </c>
      <c r="B71" s="86">
        <v>80.201380636384343</v>
      </c>
      <c r="C71" s="86">
        <v>67.596636541279381</v>
      </c>
    </row>
    <row r="72" spans="1:3">
      <c r="A72" s="86">
        <v>70</v>
      </c>
      <c r="B72" s="86">
        <v>78.185149834367564</v>
      </c>
      <c r="C72" s="86">
        <v>66.448452525082971</v>
      </c>
    </row>
    <row r="73" spans="1:3">
      <c r="A73" s="86">
        <v>71</v>
      </c>
      <c r="B73" s="86">
        <v>77.818813244027098</v>
      </c>
      <c r="C73" s="86">
        <v>66.115952107537808</v>
      </c>
    </row>
    <row r="74" spans="1:3">
      <c r="A74" s="86">
        <v>72</v>
      </c>
      <c r="B74" s="86">
        <v>77.791377124975497</v>
      </c>
      <c r="C74" s="86">
        <v>65.651268359563431</v>
      </c>
    </row>
    <row r="75" spans="1:3">
      <c r="A75" s="86">
        <v>73</v>
      </c>
      <c r="B75" s="86">
        <v>77.145248462374312</v>
      </c>
      <c r="C75" s="86">
        <v>64.459317384425844</v>
      </c>
    </row>
    <row r="76" spans="1:3">
      <c r="A76" s="86">
        <v>74</v>
      </c>
      <c r="B76" s="86">
        <v>77.479797620857823</v>
      </c>
      <c r="C76" s="86">
        <v>64.202060703382983</v>
      </c>
    </row>
    <row r="77" spans="1:3">
      <c r="A77" s="86">
        <v>75</v>
      </c>
      <c r="B77" s="86">
        <v>79.655086895003876</v>
      </c>
      <c r="C77" s="86">
        <v>65.121830327655147</v>
      </c>
    </row>
    <row r="78" spans="1:3">
      <c r="A78" s="86">
        <v>76</v>
      </c>
      <c r="B78" s="86">
        <v>79.443583775872582</v>
      </c>
      <c r="C78" s="86">
        <v>64.642637736251388</v>
      </c>
    </row>
    <row r="79" spans="1:3">
      <c r="A79" s="86">
        <v>77</v>
      </c>
      <c r="B79" s="86">
        <v>81.17999897151175</v>
      </c>
      <c r="C79" s="86">
        <v>66.282906380193253</v>
      </c>
    </row>
    <row r="80" spans="1:3">
      <c r="A80" s="86">
        <v>78</v>
      </c>
      <c r="B80" s="86">
        <v>80.256678282106307</v>
      </c>
      <c r="C80" s="86">
        <v>65.848769988641678</v>
      </c>
    </row>
    <row r="81" spans="1:3">
      <c r="A81" s="86">
        <v>79</v>
      </c>
      <c r="B81" s="86">
        <v>79.268870702031393</v>
      </c>
      <c r="C81" s="86">
        <v>64.400592292167104</v>
      </c>
    </row>
    <row r="82" spans="1:3">
      <c r="A82" s="86">
        <v>80</v>
      </c>
      <c r="B82" s="86">
        <v>76.511542750277968</v>
      </c>
      <c r="C82" s="86">
        <v>62.144107577295486</v>
      </c>
    </row>
    <row r="83" spans="1:3">
      <c r="A83" s="86">
        <v>81</v>
      </c>
      <c r="B83" s="86">
        <v>77.693443315339024</v>
      </c>
      <c r="C83" s="86">
        <v>62.730762467712431</v>
      </c>
    </row>
    <row r="84" spans="1:3">
      <c r="A84" s="86">
        <v>82</v>
      </c>
      <c r="B84" s="86">
        <v>76.638549985890492</v>
      </c>
      <c r="C84" s="86">
        <v>61.938714998315028</v>
      </c>
    </row>
    <row r="85" spans="1:3">
      <c r="A85" s="86">
        <v>83</v>
      </c>
      <c r="B85" s="86">
        <v>75.686220388533371</v>
      </c>
      <c r="C85" s="86">
        <v>61.037973000921937</v>
      </c>
    </row>
    <row r="86" spans="1:3">
      <c r="A86" s="86">
        <v>84</v>
      </c>
      <c r="B86" s="86">
        <v>73.290790274506108</v>
      </c>
      <c r="C86" s="86">
        <v>59.275065501450506</v>
      </c>
    </row>
    <row r="87" spans="1:3">
      <c r="A87" s="86">
        <v>85</v>
      </c>
      <c r="B87" s="86">
        <v>72.160333819794516</v>
      </c>
      <c r="C87" s="86">
        <v>58.986335626657613</v>
      </c>
    </row>
    <row r="88" spans="1:3">
      <c r="A88" s="86">
        <v>86</v>
      </c>
      <c r="B88" s="86">
        <v>72.469150154376976</v>
      </c>
      <c r="C88" s="86">
        <v>59.552481458873906</v>
      </c>
    </row>
    <row r="89" spans="1:3">
      <c r="A89" s="86">
        <v>87</v>
      </c>
      <c r="B89" s="86">
        <v>74.506501682645762</v>
      </c>
      <c r="C89" s="86">
        <v>60.836978053656637</v>
      </c>
    </row>
    <row r="90" spans="1:3">
      <c r="A90" s="86">
        <v>88</v>
      </c>
      <c r="B90" s="86">
        <v>74.660608987843673</v>
      </c>
      <c r="C90" s="86">
        <v>60.248471308645314</v>
      </c>
    </row>
    <row r="91" spans="1:3">
      <c r="A91" s="86">
        <v>89</v>
      </c>
      <c r="B91" s="86">
        <v>75.15023417266994</v>
      </c>
      <c r="C91" s="86">
        <v>60.490179355159228</v>
      </c>
    </row>
    <row r="92" spans="1:3">
      <c r="A92" s="86">
        <v>90</v>
      </c>
      <c r="B92" s="86">
        <v>77.697234311273306</v>
      </c>
      <c r="C92" s="86">
        <v>61.715607829805158</v>
      </c>
    </row>
    <row r="93" spans="1:3">
      <c r="A93" s="86">
        <v>91</v>
      </c>
      <c r="B93" s="86">
        <v>79.833728057585816</v>
      </c>
      <c r="C93" s="86">
        <v>63.401254046440265</v>
      </c>
    </row>
    <row r="94" spans="1:3">
      <c r="A94" s="86">
        <v>92</v>
      </c>
      <c r="B94" s="86">
        <v>79.244541011169176</v>
      </c>
      <c r="C94" s="86">
        <v>62.440887039689699</v>
      </c>
    </row>
    <row r="95" spans="1:3">
      <c r="A95" s="86">
        <v>93</v>
      </c>
      <c r="B95" s="86">
        <v>79.170669434873645</v>
      </c>
      <c r="C95" s="86">
        <v>61.990431709168988</v>
      </c>
    </row>
    <row r="96" spans="1:3">
      <c r="A96" s="86">
        <v>94</v>
      </c>
      <c r="B96" s="86">
        <v>83.012935568374886</v>
      </c>
      <c r="C96" s="86">
        <v>64.092940343556492</v>
      </c>
    </row>
    <row r="97" spans="1:3">
      <c r="A97" s="86">
        <v>95</v>
      </c>
      <c r="B97" s="86">
        <v>80.079131843465674</v>
      </c>
      <c r="C97" s="86">
        <v>61.846980167899069</v>
      </c>
    </row>
    <row r="98" spans="1:3">
      <c r="A98" s="86">
        <v>96</v>
      </c>
      <c r="B98" s="86">
        <v>80.262926492275028</v>
      </c>
      <c r="C98" s="86">
        <v>62.709679374312273</v>
      </c>
    </row>
    <row r="99" spans="1:3">
      <c r="A99" s="86">
        <v>97</v>
      </c>
      <c r="B99" s="86">
        <v>80.410890022326768</v>
      </c>
      <c r="C99" s="86">
        <v>62.690963237904121</v>
      </c>
    </row>
    <row r="100" spans="1:3">
      <c r="A100" s="86">
        <v>98</v>
      </c>
      <c r="B100" s="86">
        <v>81.991186632609754</v>
      </c>
      <c r="C100" s="86">
        <v>64.296429681329442</v>
      </c>
    </row>
    <row r="101" spans="1:3">
      <c r="A101" s="86">
        <v>99</v>
      </c>
      <c r="B101" s="86">
        <v>82.690597546309164</v>
      </c>
      <c r="C101" s="86">
        <v>65.106072008112946</v>
      </c>
    </row>
    <row r="102" spans="1:3">
      <c r="A102" s="86">
        <v>100</v>
      </c>
      <c r="B102" s="86">
        <v>87.077874530405609</v>
      </c>
      <c r="C102" s="86">
        <v>67.974417788680185</v>
      </c>
    </row>
    <row r="103" spans="1:3">
      <c r="A103" s="86">
        <v>101</v>
      </c>
      <c r="B103" s="86">
        <v>87.059785498604384</v>
      </c>
      <c r="C103" s="86">
        <v>67.838347700957925</v>
      </c>
    </row>
    <row r="104" spans="1:3">
      <c r="A104" s="86">
        <v>102</v>
      </c>
      <c r="B104" s="86">
        <v>87.909537550345249</v>
      </c>
      <c r="C104" s="86">
        <v>67.916046479357902</v>
      </c>
    </row>
    <row r="105" spans="1:3">
      <c r="A105" s="86">
        <v>103</v>
      </c>
      <c r="B105" s="86">
        <v>87.587578374379675</v>
      </c>
      <c r="C105" s="86">
        <v>67.753016380891424</v>
      </c>
    </row>
    <row r="106" spans="1:3">
      <c r="A106" s="86">
        <v>104</v>
      </c>
      <c r="B106" s="86">
        <v>89.089786746963668</v>
      </c>
      <c r="C106" s="86">
        <v>68.856567531375248</v>
      </c>
    </row>
    <row r="107" spans="1:3">
      <c r="A107" s="86">
        <v>105</v>
      </c>
      <c r="B107" s="86">
        <v>88.783339668929202</v>
      </c>
      <c r="C107" s="86">
        <v>68.656409980977017</v>
      </c>
    </row>
    <row r="108" spans="1:3">
      <c r="A108" s="86">
        <v>106</v>
      </c>
      <c r="B108" s="86">
        <v>87.536984786747638</v>
      </c>
      <c r="C108" s="86">
        <v>67.958787177630825</v>
      </c>
    </row>
    <row r="109" spans="1:3">
      <c r="A109" s="86">
        <v>107</v>
      </c>
      <c r="B109" s="86">
        <v>87.496401878973899</v>
      </c>
      <c r="C109" s="86">
        <v>68.195128722606739</v>
      </c>
    </row>
    <row r="110" spans="1:3">
      <c r="A110" s="86">
        <v>108</v>
      </c>
      <c r="B110" s="86">
        <v>89.527878529571723</v>
      </c>
      <c r="C110" s="86">
        <v>69.428608581278155</v>
      </c>
    </row>
    <row r="111" spans="1:3">
      <c r="A111" s="86">
        <v>109</v>
      </c>
      <c r="B111" s="86">
        <v>88.655343441696687</v>
      </c>
      <c r="C111" s="86">
        <v>68.509950744198704</v>
      </c>
    </row>
    <row r="112" spans="1:3">
      <c r="A112" s="86">
        <v>110</v>
      </c>
      <c r="B112" s="86">
        <v>86.932910701111311</v>
      </c>
      <c r="C112" s="86">
        <v>67.352642212665728</v>
      </c>
    </row>
    <row r="113" spans="1:3">
      <c r="A113" s="86">
        <v>111</v>
      </c>
      <c r="B113" s="86">
        <v>85.688058761102255</v>
      </c>
      <c r="C113" s="86">
        <v>66.60162263845649</v>
      </c>
    </row>
    <row r="114" spans="1:3">
      <c r="A114" s="86">
        <v>112</v>
      </c>
      <c r="B114" s="86">
        <v>85.123855851117256</v>
      </c>
      <c r="C114" s="86">
        <v>66.842462874664847</v>
      </c>
    </row>
    <row r="115" spans="1:3">
      <c r="A115" s="86">
        <v>113</v>
      </c>
      <c r="B115" s="86">
        <v>85.036548742763642</v>
      </c>
      <c r="C115" s="86">
        <v>66.29905868428763</v>
      </c>
    </row>
    <row r="116" spans="1:3">
      <c r="A116" s="86">
        <v>114</v>
      </c>
      <c r="B116" s="86">
        <v>85.814777343576765</v>
      </c>
      <c r="C116" s="86">
        <v>67.214433630221393</v>
      </c>
    </row>
    <row r="117" spans="1:3">
      <c r="A117" s="86">
        <v>115</v>
      </c>
      <c r="B117" s="86">
        <v>86.289316921212162</v>
      </c>
      <c r="C117" s="86">
        <v>67.985837157837111</v>
      </c>
    </row>
    <row r="118" spans="1:3">
      <c r="A118" s="86">
        <v>116</v>
      </c>
      <c r="B118" s="86">
        <v>84.68959789323975</v>
      </c>
      <c r="C118" s="86">
        <v>67.333160733131862</v>
      </c>
    </row>
    <row r="119" spans="1:3">
      <c r="A119" s="86">
        <v>117</v>
      </c>
      <c r="B119" s="86">
        <v>83.364361585754111</v>
      </c>
      <c r="C119" s="86">
        <v>67.332166504773198</v>
      </c>
    </row>
    <row r="120" spans="1:3">
      <c r="A120" s="86">
        <v>118</v>
      </c>
      <c r="B120" s="86">
        <v>81.015422965587589</v>
      </c>
      <c r="C120" s="86">
        <v>64.79075135132716</v>
      </c>
    </row>
    <row r="121" spans="1:3">
      <c r="A121" s="86">
        <v>119</v>
      </c>
      <c r="B121" s="86">
        <v>82.283596482838732</v>
      </c>
      <c r="C121" s="86">
        <v>65.536604221577861</v>
      </c>
    </row>
    <row r="122" spans="1:3">
      <c r="A122" s="86">
        <v>120</v>
      </c>
      <c r="B122" s="86">
        <v>82.142654095990679</v>
      </c>
      <c r="C122" s="86">
        <v>64.801670917995594</v>
      </c>
    </row>
    <row r="123" spans="1:3">
      <c r="A123" s="86">
        <v>121</v>
      </c>
      <c r="B123" s="86">
        <v>80.298271804921924</v>
      </c>
      <c r="C123" s="86">
        <v>62.99945677018372</v>
      </c>
    </row>
    <row r="124" spans="1:3">
      <c r="A124" s="86">
        <v>122</v>
      </c>
      <c r="B124" s="86">
        <v>77.805164741609417</v>
      </c>
      <c r="C124" s="86">
        <v>61.524495921325993</v>
      </c>
    </row>
    <row r="125" spans="1:3">
      <c r="A125" s="86">
        <v>123</v>
      </c>
      <c r="B125" s="86">
        <v>77.929155559335243</v>
      </c>
      <c r="C125" s="86">
        <v>61.69113583366272</v>
      </c>
    </row>
    <row r="126" spans="1:3">
      <c r="A126" s="86">
        <v>124</v>
      </c>
      <c r="B126" s="86">
        <v>76.781106334542642</v>
      </c>
      <c r="C126" s="86">
        <v>60.832298496258822</v>
      </c>
    </row>
    <row r="127" spans="1:3">
      <c r="A127" s="86">
        <v>125</v>
      </c>
      <c r="B127" s="86">
        <v>77.754725419062567</v>
      </c>
      <c r="C127" s="86">
        <v>61.874128687188076</v>
      </c>
    </row>
    <row r="128" spans="1:3">
      <c r="A128" s="86">
        <v>126</v>
      </c>
      <c r="B128" s="86">
        <v>77.379349887930175</v>
      </c>
      <c r="C128" s="86">
        <v>62.27097326383192</v>
      </c>
    </row>
    <row r="129" spans="1:3">
      <c r="A129" s="86">
        <v>127</v>
      </c>
      <c r="B129" s="86">
        <v>78.358940454053823</v>
      </c>
      <c r="C129" s="86">
        <v>62.281042540341794</v>
      </c>
    </row>
    <row r="130" spans="1:3">
      <c r="A130" s="86">
        <v>128</v>
      </c>
      <c r="B130" s="86">
        <v>78.873612047131871</v>
      </c>
      <c r="C130" s="86">
        <v>62.94121162270639</v>
      </c>
    </row>
    <row r="131" spans="1:3">
      <c r="A131" s="86">
        <v>129</v>
      </c>
      <c r="B131" s="86">
        <v>75.718881022485363</v>
      </c>
      <c r="C131" s="86">
        <v>60.58402734707068</v>
      </c>
    </row>
    <row r="132" spans="1:3">
      <c r="A132" s="86">
        <v>130</v>
      </c>
      <c r="B132" s="86">
        <v>75.364619689690855</v>
      </c>
      <c r="C132" s="86">
        <v>60.031907712365879</v>
      </c>
    </row>
    <row r="133" spans="1:3">
      <c r="A133" s="86">
        <v>131</v>
      </c>
      <c r="B133" s="86">
        <v>78.548940467427357</v>
      </c>
      <c r="C133" s="86">
        <v>62.75015643539556</v>
      </c>
    </row>
    <row r="134" spans="1:3">
      <c r="A134" s="86">
        <v>132</v>
      </c>
      <c r="B134" s="86">
        <v>79.31914410204935</v>
      </c>
      <c r="C134" s="86">
        <v>63.194948643436376</v>
      </c>
    </row>
    <row r="135" spans="1:3">
      <c r="A135" s="86">
        <v>133</v>
      </c>
      <c r="B135" s="86">
        <v>80.269157500731424</v>
      </c>
      <c r="C135" s="86">
        <v>63.564276971116435</v>
      </c>
    </row>
    <row r="136" spans="1:3">
      <c r="A136" s="86">
        <v>134</v>
      </c>
      <c r="B136" s="86">
        <v>79.712846868569613</v>
      </c>
      <c r="C136" s="86">
        <v>63.080295920975395</v>
      </c>
    </row>
    <row r="137" spans="1:3">
      <c r="A137" s="86">
        <v>135</v>
      </c>
      <c r="B137" s="86">
        <v>82.168285371840952</v>
      </c>
      <c r="C137" s="86">
        <v>64.203734435814155</v>
      </c>
    </row>
    <row r="138" spans="1:3">
      <c r="A138" s="86">
        <v>136</v>
      </c>
      <c r="B138" s="86">
        <v>82.755740652262972</v>
      </c>
      <c r="C138" s="86">
        <v>64.408122228437264</v>
      </c>
    </row>
    <row r="139" spans="1:3">
      <c r="A139" s="86">
        <v>137</v>
      </c>
      <c r="B139" s="86">
        <v>80.807460871368278</v>
      </c>
      <c r="C139" s="86">
        <v>62.577032147800999</v>
      </c>
    </row>
    <row r="140" spans="1:3">
      <c r="A140" s="86">
        <v>138</v>
      </c>
      <c r="B140" s="86">
        <v>78.659715855578639</v>
      </c>
      <c r="C140" s="86">
        <v>60.992771740272822</v>
      </c>
    </row>
    <row r="141" spans="1:3">
      <c r="A141" s="86">
        <v>139</v>
      </c>
      <c r="B141" s="86">
        <v>81.305098686850485</v>
      </c>
      <c r="C141" s="86">
        <v>62.890813273989501</v>
      </c>
    </row>
    <row r="142" spans="1:3">
      <c r="A142" s="86">
        <v>140</v>
      </c>
      <c r="B142" s="86">
        <v>81.284982091509846</v>
      </c>
      <c r="C142" s="86">
        <v>63.886670434660893</v>
      </c>
    </row>
    <row r="143" spans="1:3">
      <c r="A143" s="86">
        <v>141</v>
      </c>
      <c r="B143" s="86">
        <v>80.093007080736683</v>
      </c>
      <c r="C143" s="86">
        <v>62.882562864870771</v>
      </c>
    </row>
    <row r="144" spans="1:3">
      <c r="A144" s="86">
        <v>142</v>
      </c>
      <c r="B144" s="86">
        <v>79.694235088349814</v>
      </c>
      <c r="C144" s="86">
        <v>62.302109031357375</v>
      </c>
    </row>
    <row r="145" spans="1:3">
      <c r="A145" s="86">
        <v>143</v>
      </c>
      <c r="B145" s="86">
        <v>79.708608039563359</v>
      </c>
      <c r="C145" s="86">
        <v>61.755165560666526</v>
      </c>
    </row>
    <row r="146" spans="1:3">
      <c r="A146" s="86">
        <v>144</v>
      </c>
      <c r="B146" s="86">
        <v>79.77566660393471</v>
      </c>
      <c r="C146" s="86">
        <v>62.737598738825241</v>
      </c>
    </row>
    <row r="147" spans="1:3">
      <c r="A147" s="86">
        <v>145</v>
      </c>
      <c r="B147" s="86">
        <v>79.996494161959049</v>
      </c>
      <c r="C147" s="86">
        <v>63.592720225101381</v>
      </c>
    </row>
    <row r="148" spans="1:3">
      <c r="A148" s="86">
        <v>146</v>
      </c>
      <c r="B148" s="86">
        <v>80.615174144739427</v>
      </c>
      <c r="C148" s="86">
        <v>63.956903061554414</v>
      </c>
    </row>
    <row r="149" spans="1:3">
      <c r="A149" s="86">
        <v>147</v>
      </c>
      <c r="B149" s="86">
        <v>81.391951079555895</v>
      </c>
      <c r="C149" s="86">
        <v>63.706490155553013</v>
      </c>
    </row>
    <row r="150" spans="1:3">
      <c r="A150" s="86">
        <v>148</v>
      </c>
      <c r="B150" s="86">
        <v>82.472103803428354</v>
      </c>
      <c r="C150" s="86">
        <v>64.748014866045565</v>
      </c>
    </row>
    <row r="151" spans="1:3">
      <c r="A151" s="86">
        <v>149</v>
      </c>
      <c r="B151" s="86">
        <v>82.462264990514726</v>
      </c>
      <c r="C151" s="86">
        <v>64.200850094997193</v>
      </c>
    </row>
    <row r="152" spans="1:3">
      <c r="A152" s="86">
        <v>150</v>
      </c>
      <c r="B152" s="86">
        <v>81.283887109599178</v>
      </c>
      <c r="C152" s="86">
        <v>63.13897333738911</v>
      </c>
    </row>
    <row r="153" spans="1:3">
      <c r="A153" s="86">
        <v>151</v>
      </c>
      <c r="B153" s="86">
        <v>82.50909098179207</v>
      </c>
      <c r="C153" s="86">
        <v>63.131649147040562</v>
      </c>
    </row>
    <row r="154" spans="1:3">
      <c r="A154" s="86">
        <v>152</v>
      </c>
      <c r="B154" s="86">
        <v>82.581493710147413</v>
      </c>
      <c r="C154" s="86">
        <v>63.546777830186493</v>
      </c>
    </row>
    <row r="155" spans="1:3">
      <c r="A155" s="86">
        <v>153</v>
      </c>
      <c r="B155" s="86">
        <v>83.916284727068046</v>
      </c>
      <c r="C155" s="86">
        <v>64.229389125908085</v>
      </c>
    </row>
    <row r="156" spans="1:3">
      <c r="A156" s="86">
        <v>154</v>
      </c>
      <c r="B156" s="86">
        <v>87.035554223191298</v>
      </c>
      <c r="C156" s="86">
        <v>66.846412622581227</v>
      </c>
    </row>
    <row r="157" spans="1:3">
      <c r="A157" s="86">
        <v>155</v>
      </c>
      <c r="B157" s="86">
        <v>87.789075613165025</v>
      </c>
      <c r="C157" s="86">
        <v>68.101779946525554</v>
      </c>
    </row>
    <row r="158" spans="1:3">
      <c r="A158" s="86">
        <v>156</v>
      </c>
      <c r="B158" s="86">
        <v>89.734511248629758</v>
      </c>
      <c r="C158" s="86">
        <v>69.337865684264187</v>
      </c>
    </row>
    <row r="159" spans="1:3">
      <c r="A159" s="86">
        <v>157</v>
      </c>
      <c r="B159" s="86">
        <v>87.78331310388468</v>
      </c>
      <c r="C159" s="86">
        <v>68.934466565787091</v>
      </c>
    </row>
    <row r="160" spans="1:3">
      <c r="A160" s="86">
        <v>158</v>
      </c>
      <c r="B160" s="86">
        <v>89.181858242285841</v>
      </c>
      <c r="C160" s="86">
        <v>70.219972343705535</v>
      </c>
    </row>
    <row r="161" spans="1:3">
      <c r="A161" s="86">
        <v>159</v>
      </c>
      <c r="B161" s="86">
        <v>88.762962551052922</v>
      </c>
      <c r="C161" s="86">
        <v>68.698218026668812</v>
      </c>
    </row>
    <row r="162" spans="1:3">
      <c r="A162" s="86">
        <v>160</v>
      </c>
      <c r="B162" s="86">
        <v>87.15751567162485</v>
      </c>
      <c r="C162" s="86">
        <v>67.035085415271823</v>
      </c>
    </row>
    <row r="163" spans="1:3">
      <c r="A163" s="86">
        <v>161</v>
      </c>
      <c r="B163" s="86">
        <v>87.199564456664433</v>
      </c>
      <c r="C163" s="86">
        <v>66.932622905686429</v>
      </c>
    </row>
    <row r="164" spans="1:3">
      <c r="A164" s="86">
        <v>162</v>
      </c>
      <c r="B164" s="86">
        <v>85.161754931327451</v>
      </c>
      <c r="C164" s="86">
        <v>65.202014537889937</v>
      </c>
    </row>
    <row r="165" spans="1:3">
      <c r="A165" s="86">
        <v>163</v>
      </c>
      <c r="B165" s="86">
        <v>85.757922547138008</v>
      </c>
      <c r="C165" s="86">
        <v>66.175524744339356</v>
      </c>
    </row>
    <row r="166" spans="1:3">
      <c r="A166" s="86">
        <v>164</v>
      </c>
      <c r="B166" s="86">
        <v>85.751355059393944</v>
      </c>
      <c r="C166" s="86">
        <v>65.687925018719696</v>
      </c>
    </row>
    <row r="167" spans="1:3">
      <c r="A167" s="86">
        <v>165</v>
      </c>
      <c r="B167" s="86">
        <v>87.832031520637571</v>
      </c>
      <c r="C167" s="86">
        <v>66.940960999010386</v>
      </c>
    </row>
    <row r="168" spans="1:3">
      <c r="A168" s="86">
        <v>166</v>
      </c>
      <c r="B168" s="86">
        <v>87.074186162422549</v>
      </c>
      <c r="C168" s="86">
        <v>66.829668990216518</v>
      </c>
    </row>
    <row r="169" spans="1:3">
      <c r="A169" s="86">
        <v>167</v>
      </c>
      <c r="B169" s="86">
        <v>85.798425893603678</v>
      </c>
      <c r="C169" s="86">
        <v>65.875274167505168</v>
      </c>
    </row>
    <row r="170" spans="1:3">
      <c r="A170" s="86">
        <v>168</v>
      </c>
      <c r="B170" s="86">
        <v>84.637375970537548</v>
      </c>
      <c r="C170" s="86">
        <v>65.703626096375928</v>
      </c>
    </row>
    <row r="171" spans="1:3">
      <c r="A171" s="86">
        <v>169</v>
      </c>
      <c r="B171" s="86">
        <v>85.090643105562393</v>
      </c>
      <c r="C171" s="86">
        <v>65.845786888567659</v>
      </c>
    </row>
    <row r="172" spans="1:3">
      <c r="A172" s="86">
        <v>170</v>
      </c>
      <c r="B172" s="86">
        <v>84.640488006508363</v>
      </c>
      <c r="C172" s="86">
        <v>66.121910562306752</v>
      </c>
    </row>
    <row r="173" spans="1:3">
      <c r="A173" s="86">
        <v>171</v>
      </c>
      <c r="B173" s="86">
        <v>84.991569462450457</v>
      </c>
      <c r="C173" s="86">
        <v>67.190366788952474</v>
      </c>
    </row>
    <row r="174" spans="1:3">
      <c r="A174" s="86">
        <v>172</v>
      </c>
      <c r="B174" s="86">
        <v>85.062815755324749</v>
      </c>
      <c r="C174" s="86">
        <v>66.997453741805828</v>
      </c>
    </row>
    <row r="175" spans="1:3">
      <c r="A175" s="86">
        <v>173</v>
      </c>
      <c r="B175" s="86">
        <v>86.890059656772479</v>
      </c>
      <c r="C175" s="86">
        <v>67.927447551174694</v>
      </c>
    </row>
    <row r="176" spans="1:3">
      <c r="A176" s="86">
        <v>174</v>
      </c>
      <c r="B176" s="86">
        <v>85.835285490556828</v>
      </c>
      <c r="C176" s="86">
        <v>66.675551210367018</v>
      </c>
    </row>
    <row r="177" spans="1:3">
      <c r="A177" s="86">
        <v>175</v>
      </c>
      <c r="B177" s="86">
        <v>85.198439164887589</v>
      </c>
      <c r="C177" s="86">
        <v>64.710833775863634</v>
      </c>
    </row>
    <row r="178" spans="1:3">
      <c r="A178" s="86">
        <v>176</v>
      </c>
      <c r="B178" s="86">
        <v>86.258366417397653</v>
      </c>
      <c r="C178" s="86">
        <v>65.977447554046151</v>
      </c>
    </row>
    <row r="179" spans="1:3">
      <c r="A179" s="86">
        <v>177</v>
      </c>
      <c r="B179" s="86">
        <v>85.304636576527585</v>
      </c>
      <c r="C179" s="86">
        <v>65.609229979140707</v>
      </c>
    </row>
    <row r="180" spans="1:3">
      <c r="A180" s="86">
        <v>178</v>
      </c>
      <c r="B180" s="86">
        <v>84.917518743504246</v>
      </c>
      <c r="C180" s="86">
        <v>65.820637352364002</v>
      </c>
    </row>
    <row r="181" spans="1:3">
      <c r="A181" s="86">
        <v>179</v>
      </c>
      <c r="B181" s="86">
        <v>85.97111647489281</v>
      </c>
      <c r="C181" s="86">
        <v>66.469002463018512</v>
      </c>
    </row>
    <row r="182" spans="1:3">
      <c r="A182" s="86">
        <v>180</v>
      </c>
      <c r="B182" s="86">
        <v>83.68935561712064</v>
      </c>
      <c r="C182" s="86">
        <v>64.758153929852753</v>
      </c>
    </row>
    <row r="183" spans="1:3">
      <c r="A183" s="86">
        <v>181</v>
      </c>
      <c r="B183" s="86">
        <v>83.035937289732743</v>
      </c>
      <c r="C183" s="86">
        <v>64.598893084361578</v>
      </c>
    </row>
    <row r="184" spans="1:3">
      <c r="A184" s="86">
        <v>182</v>
      </c>
      <c r="B184" s="86">
        <v>82.270142652883621</v>
      </c>
      <c r="C184" s="86">
        <v>64.507723772249079</v>
      </c>
    </row>
    <row r="185" spans="1:3">
      <c r="A185" s="86">
        <v>183</v>
      </c>
      <c r="B185" s="86">
        <v>80.681207244935152</v>
      </c>
      <c r="C185" s="86">
        <v>63.508911358625859</v>
      </c>
    </row>
    <row r="186" spans="1:3">
      <c r="A186" s="86">
        <v>184</v>
      </c>
      <c r="B186" s="86">
        <v>83.341278444203098</v>
      </c>
      <c r="C186" s="86">
        <v>65.015045741321899</v>
      </c>
    </row>
    <row r="187" spans="1:3">
      <c r="A187" s="86">
        <v>185</v>
      </c>
      <c r="B187" s="86">
        <v>85.837770593926464</v>
      </c>
      <c r="C187" s="86">
        <v>66.103942519105914</v>
      </c>
    </row>
    <row r="188" spans="1:3">
      <c r="A188" s="86">
        <v>186</v>
      </c>
      <c r="B188" s="86">
        <v>89.414898067448334</v>
      </c>
      <c r="C188" s="86">
        <v>68.771237461414159</v>
      </c>
    </row>
    <row r="189" spans="1:3">
      <c r="A189" s="86">
        <v>187</v>
      </c>
      <c r="B189" s="86">
        <v>89.842496090104106</v>
      </c>
      <c r="C189" s="86">
        <v>69.811763858054277</v>
      </c>
    </row>
    <row r="190" spans="1:3">
      <c r="A190" s="86">
        <v>188</v>
      </c>
      <c r="B190" s="86">
        <v>90.166667937120891</v>
      </c>
      <c r="C190" s="86">
        <v>69.640167062674081</v>
      </c>
    </row>
    <row r="191" spans="1:3">
      <c r="A191" s="86">
        <v>189</v>
      </c>
      <c r="B191" s="86">
        <v>92.037057466585509</v>
      </c>
      <c r="C191" s="86">
        <v>70.099340925672237</v>
      </c>
    </row>
    <row r="192" spans="1:3">
      <c r="A192" s="86">
        <v>190</v>
      </c>
      <c r="B192" s="86">
        <v>91.770453210146741</v>
      </c>
      <c r="C192" s="86">
        <v>70.326271940880531</v>
      </c>
    </row>
    <row r="193" spans="1:3">
      <c r="A193" s="86">
        <v>191</v>
      </c>
      <c r="B193" s="86">
        <v>90.581829702029481</v>
      </c>
      <c r="C193" s="86">
        <v>69.328606891113623</v>
      </c>
    </row>
    <row r="194" spans="1:3">
      <c r="A194" s="86">
        <v>192</v>
      </c>
      <c r="B194" s="86">
        <v>90.137043638023414</v>
      </c>
      <c r="C194" s="86">
        <v>69.06034833952512</v>
      </c>
    </row>
    <row r="195" spans="1:3">
      <c r="A195" s="86">
        <v>193</v>
      </c>
      <c r="B195" s="86">
        <v>89.098679745994247</v>
      </c>
      <c r="C195" s="86">
        <v>68.459980409510393</v>
      </c>
    </row>
    <row r="196" spans="1:3">
      <c r="A196" s="86">
        <v>194</v>
      </c>
      <c r="B196" s="86">
        <v>87.745793429811286</v>
      </c>
      <c r="C196" s="86">
        <v>66.738900531630307</v>
      </c>
    </row>
    <row r="197" spans="1:3">
      <c r="A197" s="86">
        <v>195</v>
      </c>
      <c r="B197" s="86">
        <v>89.863808903964099</v>
      </c>
      <c r="C197" s="86">
        <v>67.503202915878475</v>
      </c>
    </row>
    <row r="198" spans="1:3">
      <c r="A198" s="86">
        <v>196</v>
      </c>
      <c r="B198" s="86">
        <v>90.536051467455394</v>
      </c>
      <c r="C198" s="86">
        <v>68.682836726171971</v>
      </c>
    </row>
    <row r="199" spans="1:3">
      <c r="A199" s="86">
        <v>197</v>
      </c>
      <c r="B199" s="86">
        <v>89.286390272945511</v>
      </c>
      <c r="C199" s="86">
        <v>68.757667706906204</v>
      </c>
    </row>
    <row r="200" spans="1:3">
      <c r="A200" s="86">
        <v>198</v>
      </c>
      <c r="B200" s="86">
        <v>91.033388295938522</v>
      </c>
      <c r="C200" s="86">
        <v>69.881903307449178</v>
      </c>
    </row>
    <row r="201" spans="1:3">
      <c r="A201" s="86">
        <v>199</v>
      </c>
      <c r="B201" s="86">
        <v>91.000603247889373</v>
      </c>
      <c r="C201" s="86">
        <v>70.286636637767302</v>
      </c>
    </row>
    <row r="202" spans="1:3">
      <c r="A202" s="86">
        <v>200</v>
      </c>
      <c r="B202" s="86">
        <v>92.69926019967447</v>
      </c>
      <c r="C202" s="86">
        <v>71.290131165562912</v>
      </c>
    </row>
    <row r="203" spans="1:3">
      <c r="A203" s="86">
        <v>201</v>
      </c>
      <c r="B203" s="86">
        <v>91.204768159660148</v>
      </c>
      <c r="C203" s="86">
        <v>69.993731399916527</v>
      </c>
    </row>
    <row r="204" spans="1:3">
      <c r="A204" s="86">
        <v>202</v>
      </c>
      <c r="B204" s="86">
        <v>90.827987207405158</v>
      </c>
      <c r="C204" s="86">
        <v>69.144919831923801</v>
      </c>
    </row>
    <row r="205" spans="1:3">
      <c r="A205" s="86">
        <v>203</v>
      </c>
      <c r="B205" s="86">
        <v>91.357023160927312</v>
      </c>
      <c r="C205" s="86">
        <v>68.772686387704496</v>
      </c>
    </row>
    <row r="206" spans="1:3">
      <c r="A206" s="86">
        <v>204</v>
      </c>
      <c r="B206" s="86">
        <v>89.94209103891022</v>
      </c>
      <c r="C206" s="86">
        <v>68.096135972992528</v>
      </c>
    </row>
    <row r="207" spans="1:3">
      <c r="A207" s="86">
        <v>205</v>
      </c>
      <c r="B207" s="86">
        <v>89.962967049434724</v>
      </c>
      <c r="C207" s="86">
        <v>67.603335003546633</v>
      </c>
    </row>
    <row r="208" spans="1:3">
      <c r="A208" s="86">
        <v>206</v>
      </c>
      <c r="B208" s="86">
        <v>94.124939260932763</v>
      </c>
      <c r="C208" s="86">
        <v>70.370079460035868</v>
      </c>
    </row>
    <row r="209" spans="1:3">
      <c r="A209" s="86">
        <v>207</v>
      </c>
      <c r="B209" s="86">
        <v>89.510416118526905</v>
      </c>
      <c r="C209" s="86">
        <v>67.153615171449204</v>
      </c>
    </row>
    <row r="210" spans="1:3">
      <c r="A210" s="86">
        <v>208</v>
      </c>
      <c r="B210" s="86">
        <v>88.570964674669057</v>
      </c>
      <c r="C210" s="86">
        <v>66.895627869157551</v>
      </c>
    </row>
    <row r="211" spans="1:3">
      <c r="A211" s="86">
        <v>209</v>
      </c>
      <c r="B211" s="86">
        <v>90.669902501163307</v>
      </c>
      <c r="C211" s="86">
        <v>68.844228546344695</v>
      </c>
    </row>
    <row r="212" spans="1:3">
      <c r="A212" s="86">
        <v>210</v>
      </c>
      <c r="B212" s="86">
        <v>89.090373987757658</v>
      </c>
      <c r="C212" s="86">
        <v>67.076523552711976</v>
      </c>
    </row>
    <row r="213" spans="1:3">
      <c r="A213" s="86">
        <v>211</v>
      </c>
      <c r="B213" s="86">
        <v>85.262796261583148</v>
      </c>
      <c r="C213" s="86">
        <v>63.930793401564941</v>
      </c>
    </row>
    <row r="214" spans="1:3">
      <c r="A214" s="86">
        <v>212</v>
      </c>
      <c r="B214" s="86">
        <v>84.760768380807463</v>
      </c>
      <c r="C214" s="86">
        <v>63.128389907750154</v>
      </c>
    </row>
    <row r="215" spans="1:3">
      <c r="A215" s="86">
        <v>213</v>
      </c>
      <c r="B215" s="86">
        <v>88.114574856634562</v>
      </c>
      <c r="C215" s="86">
        <v>65.989540123439397</v>
      </c>
    </row>
    <row r="216" spans="1:3">
      <c r="A216" s="86">
        <v>214</v>
      </c>
      <c r="B216" s="86">
        <v>88.460982943284165</v>
      </c>
      <c r="C216" s="86">
        <v>66.558616600615011</v>
      </c>
    </row>
    <row r="217" spans="1:3">
      <c r="A217" s="86">
        <v>215</v>
      </c>
      <c r="B217" s="86">
        <v>86.704446726672174</v>
      </c>
      <c r="C217" s="86">
        <v>65.017536359459569</v>
      </c>
    </row>
    <row r="218" spans="1:3">
      <c r="A218" s="86">
        <v>216</v>
      </c>
      <c r="B218" s="86">
        <v>83.624661944866261</v>
      </c>
      <c r="C218" s="86">
        <v>63.429684224858995</v>
      </c>
    </row>
    <row r="219" spans="1:3">
      <c r="A219" s="86">
        <v>217</v>
      </c>
      <c r="B219" s="86">
        <v>84.879022684678333</v>
      </c>
      <c r="C219" s="86">
        <v>64.717799549186168</v>
      </c>
    </row>
    <row r="220" spans="1:3">
      <c r="A220" s="86">
        <v>218</v>
      </c>
      <c r="B220" s="86">
        <v>84.187040688007116</v>
      </c>
      <c r="C220" s="86">
        <v>64.177411428823589</v>
      </c>
    </row>
    <row r="221" spans="1:3">
      <c r="A221" s="86">
        <v>219</v>
      </c>
      <c r="B221" s="86">
        <v>84.410396432361054</v>
      </c>
      <c r="C221" s="86">
        <v>64.786507804266364</v>
      </c>
    </row>
    <row r="222" spans="1:3">
      <c r="A222" s="86">
        <v>220</v>
      </c>
      <c r="B222" s="86">
        <v>84.670484129565651</v>
      </c>
      <c r="C222" s="86">
        <v>64.522429281743953</v>
      </c>
    </row>
    <row r="223" spans="1:3">
      <c r="A223" s="86">
        <v>221</v>
      </c>
      <c r="B223" s="86">
        <v>83.373235199792617</v>
      </c>
      <c r="C223" s="86">
        <v>63.450365028178545</v>
      </c>
    </row>
    <row r="224" spans="1:3">
      <c r="A224" s="86">
        <v>222</v>
      </c>
      <c r="B224" s="86">
        <v>83.668616137375608</v>
      </c>
      <c r="C224" s="86">
        <v>63.441980821379957</v>
      </c>
    </row>
    <row r="225" spans="1:3">
      <c r="A225" s="86">
        <v>223</v>
      </c>
      <c r="B225" s="86">
        <v>83.782794764279856</v>
      </c>
      <c r="C225" s="86">
        <v>63.421396913924305</v>
      </c>
    </row>
    <row r="226" spans="1:3">
      <c r="A226" s="86">
        <v>224</v>
      </c>
      <c r="B226" s="86">
        <v>84.077567872248238</v>
      </c>
      <c r="C226" s="86">
        <v>62.762902339841766</v>
      </c>
    </row>
    <row r="227" spans="1:3">
      <c r="A227" s="86">
        <v>225</v>
      </c>
      <c r="B227" s="86">
        <v>84.270262885687416</v>
      </c>
      <c r="C227" s="86">
        <v>62.468078801269662</v>
      </c>
    </row>
    <row r="228" spans="1:3">
      <c r="A228" s="86">
        <v>226</v>
      </c>
      <c r="B228" s="86">
        <v>87.1710632141003</v>
      </c>
      <c r="C228" s="86">
        <v>65.203517122338937</v>
      </c>
    </row>
    <row r="229" spans="1:3">
      <c r="A229" s="86">
        <v>227</v>
      </c>
      <c r="B229" s="86">
        <v>91.296281209980265</v>
      </c>
      <c r="C229" s="86">
        <v>68.534674197277624</v>
      </c>
    </row>
    <row r="230" spans="1:3">
      <c r="A230" s="86">
        <v>228</v>
      </c>
      <c r="B230" s="86">
        <v>90.90178674998802</v>
      </c>
      <c r="C230" s="86">
        <v>68.755870510964499</v>
      </c>
    </row>
    <row r="231" spans="1:3">
      <c r="A231" s="86">
        <v>229</v>
      </c>
      <c r="B231" s="86">
        <v>94.96816773175135</v>
      </c>
      <c r="C231" s="86">
        <v>71.135711756952645</v>
      </c>
    </row>
    <row r="232" spans="1:3">
      <c r="A232" s="86">
        <v>230</v>
      </c>
      <c r="B232" s="86">
        <v>93.297299519451158</v>
      </c>
      <c r="C232" s="86">
        <v>70.303755008180858</v>
      </c>
    </row>
    <row r="233" spans="1:3">
      <c r="A233" s="86">
        <v>231</v>
      </c>
      <c r="B233" s="86">
        <v>89.620182164943088</v>
      </c>
      <c r="C233" s="86">
        <v>67.572822648661514</v>
      </c>
    </row>
    <row r="234" spans="1:3">
      <c r="A234" s="86">
        <v>232</v>
      </c>
      <c r="B234" s="86">
        <v>90.481545689732627</v>
      </c>
      <c r="C234" s="86">
        <v>67.470454126469505</v>
      </c>
    </row>
    <row r="235" spans="1:3">
      <c r="A235" s="86">
        <v>233</v>
      </c>
      <c r="B235" s="86">
        <v>88.399629091384043</v>
      </c>
      <c r="C235" s="86">
        <v>65.77097795692795</v>
      </c>
    </row>
    <row r="236" spans="1:3">
      <c r="A236" s="86">
        <v>234</v>
      </c>
      <c r="B236" s="86">
        <v>87.972630325667012</v>
      </c>
      <c r="C236" s="86">
        <v>65.56558459821764</v>
      </c>
    </row>
    <row r="237" spans="1:3">
      <c r="A237" s="86">
        <v>235</v>
      </c>
      <c r="B237" s="86">
        <v>87.155056853040961</v>
      </c>
      <c r="C237" s="86">
        <v>64.72886157907358</v>
      </c>
    </row>
    <row r="238" spans="1:3">
      <c r="A238" s="86">
        <v>236</v>
      </c>
      <c r="B238" s="86">
        <v>88.608006432348205</v>
      </c>
      <c r="C238" s="86">
        <v>65.429904107748612</v>
      </c>
    </row>
    <row r="239" spans="1:3">
      <c r="A239" s="86">
        <v>237</v>
      </c>
      <c r="B239" s="86">
        <v>88.079276745751926</v>
      </c>
      <c r="C239" s="86">
        <v>64.94377188723287</v>
      </c>
    </row>
    <row r="240" spans="1:3">
      <c r="A240" s="86">
        <v>238</v>
      </c>
      <c r="B240" s="86">
        <v>89.768797366842236</v>
      </c>
      <c r="C240" s="86">
        <v>65.939228063822384</v>
      </c>
    </row>
    <row r="241" spans="1:3">
      <c r="A241" s="86">
        <v>239</v>
      </c>
      <c r="B241" s="86">
        <v>90.792262569179826</v>
      </c>
      <c r="C241" s="86">
        <v>66.841346057659791</v>
      </c>
    </row>
    <row r="242" spans="1:3">
      <c r="A242" s="86">
        <v>240</v>
      </c>
      <c r="B242" s="86">
        <v>90.386951472255717</v>
      </c>
      <c r="C242" s="86">
        <v>67.486484049994218</v>
      </c>
    </row>
    <row r="243" spans="1:3">
      <c r="A243" s="86">
        <v>241</v>
      </c>
      <c r="B243" s="86">
        <v>91.031399253504873</v>
      </c>
      <c r="C243" s="86">
        <v>67.942181689614756</v>
      </c>
    </row>
    <row r="244" spans="1:3">
      <c r="A244" s="86">
        <v>242</v>
      </c>
      <c r="B244" s="86">
        <v>89.728208256965942</v>
      </c>
      <c r="C244" s="86">
        <v>67.18230190569281</v>
      </c>
    </row>
    <row r="245" spans="1:3">
      <c r="A245" s="86">
        <v>243</v>
      </c>
      <c r="B245" s="86">
        <v>90.877756096192101</v>
      </c>
      <c r="C245" s="86">
        <v>67.895156961522076</v>
      </c>
    </row>
    <row r="246" spans="1:3">
      <c r="A246" s="86">
        <v>244</v>
      </c>
      <c r="B246" s="86">
        <v>93.161227163256868</v>
      </c>
      <c r="C246" s="86">
        <v>69.100015327955376</v>
      </c>
    </row>
    <row r="247" spans="1:3">
      <c r="A247" s="86">
        <v>245</v>
      </c>
      <c r="B247" s="86">
        <v>93.93185792022031</v>
      </c>
      <c r="C247" s="86">
        <v>70.324528907740017</v>
      </c>
    </row>
    <row r="248" spans="1:3">
      <c r="A248" s="86">
        <v>246</v>
      </c>
      <c r="B248" s="86">
        <v>92.907905082560418</v>
      </c>
      <c r="C248" s="86">
        <v>69.440528852208445</v>
      </c>
    </row>
    <row r="249" spans="1:3">
      <c r="A249" s="86">
        <v>247</v>
      </c>
      <c r="B249" s="86">
        <v>89.126341783798381</v>
      </c>
      <c r="C249" s="86">
        <v>66.593680440477755</v>
      </c>
    </row>
    <row r="250" spans="1:3">
      <c r="A250" s="86">
        <v>248</v>
      </c>
      <c r="B250" s="86">
        <v>92.831323082015587</v>
      </c>
      <c r="C250" s="86">
        <v>69.4872689245244</v>
      </c>
    </row>
    <row r="251" spans="1:3">
      <c r="A251" s="86">
        <v>249</v>
      </c>
      <c r="B251" s="86">
        <v>93.193448464511235</v>
      </c>
      <c r="C251" s="86">
        <v>69.88608106798165</v>
      </c>
    </row>
    <row r="252" spans="1:3">
      <c r="A252" s="86">
        <v>250</v>
      </c>
      <c r="B252" s="86">
        <v>92.107618255820299</v>
      </c>
      <c r="C252" s="86">
        <v>69.164659045788838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249977111117893"/>
  </sheetPr>
  <dimension ref="A1:R300"/>
  <sheetViews>
    <sheetView zoomScale="60" zoomScaleNormal="60" workbookViewId="0">
      <selection activeCell="H5" sqref="H5"/>
    </sheetView>
  </sheetViews>
  <sheetFormatPr defaultColWidth="7.75" defaultRowHeight="15"/>
  <cols>
    <col min="1" max="16384" width="7.75" style="86"/>
  </cols>
  <sheetData>
    <row r="1" spans="1:18">
      <c r="A1" s="86" t="s">
        <v>205</v>
      </c>
      <c r="B1" s="86" t="s">
        <v>206</v>
      </c>
      <c r="E1" s="86" t="s">
        <v>207</v>
      </c>
      <c r="G1" s="86" t="s">
        <v>208</v>
      </c>
      <c r="H1" s="86" t="s">
        <v>209</v>
      </c>
      <c r="J1" s="88" t="s">
        <v>210</v>
      </c>
      <c r="K1" s="88">
        <v>0.36599999999999999</v>
      </c>
      <c r="O1" s="86" t="s">
        <v>211</v>
      </c>
      <c r="P1" s="86" t="s">
        <v>212</v>
      </c>
      <c r="Q1" s="86" t="s">
        <v>213</v>
      </c>
      <c r="R1" s="86" t="s">
        <v>214</v>
      </c>
    </row>
    <row r="2" spans="1:18">
      <c r="A2" s="86">
        <f ca="1">_xlfn.NORM.S.INV(RAND())</f>
        <v>-1.2971940722107627</v>
      </c>
      <c r="B2" s="86">
        <f ca="1">_xlfn.NORM.S.INV(RAND())</f>
        <v>1.3413358253199088</v>
      </c>
      <c r="E2" s="86">
        <f ca="1">CORREL(A:A,B:B)</f>
        <v>6.4264856614732122E-2</v>
      </c>
      <c r="G2" s="86">
        <f ca="1">A2</f>
        <v>-1.2971940722107627</v>
      </c>
      <c r="H2" s="86">
        <f ca="1">$K$1*G2+SQRT(1-$K$1^2)*B2</f>
        <v>0.7734940081420425</v>
      </c>
      <c r="J2" s="86" t="s">
        <v>215</v>
      </c>
      <c r="K2" s="89">
        <f ca="1">CORREL(G2:G300,H2:H300)</f>
        <v>0.39060676627032109</v>
      </c>
      <c r="O2" s="86">
        <v>100</v>
      </c>
      <c r="P2" s="86">
        <v>80</v>
      </c>
    </row>
    <row r="3" spans="1:18">
      <c r="A3" s="86">
        <f t="shared" ref="A3:B66" ca="1" si="0">_xlfn.NORM.S.INV(RAND())</f>
        <v>-0.45876911967538414</v>
      </c>
      <c r="B3" s="86">
        <f t="shared" ca="1" si="0"/>
        <v>-1.3823161024362896</v>
      </c>
      <c r="G3" s="86">
        <f t="shared" ref="G3:G66" ca="1" si="1">A3</f>
        <v>-0.45876911967538414</v>
      </c>
      <c r="H3" s="86">
        <f t="shared" ref="H3:H66" ca="1" si="2">$K$1*G3+SQRT(1-$K$1^2)*B3</f>
        <v>-1.4543133908351169</v>
      </c>
      <c r="M3" s="86" t="s">
        <v>216</v>
      </c>
      <c r="O3" s="86">
        <f ca="1">O2*EXP((0.05-0.3^2/2)*1/250+0.3*SQRT(1/250)*G3)</f>
        <v>99.135306958879042</v>
      </c>
      <c r="P3" s="86">
        <f ca="1">P2*EXP((0.05-0.3^2/2)*1/250+0.3*SQRT(1/250)*H3)</f>
        <v>77.824242133402223</v>
      </c>
      <c r="Q3" s="86">
        <f ca="1">LN(O2/O3)</f>
        <v>8.6845320299475445E-3</v>
      </c>
      <c r="R3" s="86">
        <f ca="1">LN(P2/P3)</f>
        <v>2.7573656480329792E-2</v>
      </c>
    </row>
    <row r="4" spans="1:18">
      <c r="A4" s="86">
        <f t="shared" ca="1" si="0"/>
        <v>0.49738068000193603</v>
      </c>
      <c r="B4" s="86">
        <f t="shared" ca="1" si="0"/>
        <v>0.1864431044030111</v>
      </c>
      <c r="G4" s="86">
        <f t="shared" ca="1" si="1"/>
        <v>0.49738068000193603</v>
      </c>
      <c r="H4" s="86">
        <f t="shared" ca="1" si="2"/>
        <v>0.3555480506143639</v>
      </c>
      <c r="M4" s="86">
        <f ca="1">CORREL(O2:O300,P2:P300)</f>
        <v>0.31351681927705893</v>
      </c>
      <c r="O4" s="86">
        <f t="shared" ref="O4:P19" ca="1" si="3">O3*EXP((0.05-0.3^2/2)*1/250+0.3*SQRT(1/250)*G4)</f>
        <v>100.07729013823275</v>
      </c>
      <c r="P4" s="86">
        <f t="shared" ca="1" si="3"/>
        <v>78.352590241867006</v>
      </c>
      <c r="Q4" s="86">
        <f t="shared" ref="Q4:R67" ca="1" si="4">LN(O3/O4)</f>
        <v>-9.4571348778169327E-3</v>
      </c>
      <c r="R4" s="86">
        <f t="shared" ca="1" si="4"/>
        <v>-6.7660499454453779E-3</v>
      </c>
    </row>
    <row r="5" spans="1:18">
      <c r="A5" s="86">
        <f t="shared" ca="1" si="0"/>
        <v>-0.73356758874243921</v>
      </c>
      <c r="B5" s="86">
        <f t="shared" ca="1" si="0"/>
        <v>1.5889023844264258E-2</v>
      </c>
      <c r="G5" s="86">
        <f t="shared" ca="1" si="1"/>
        <v>-0.73356758874243921</v>
      </c>
      <c r="H5" s="86">
        <f t="shared" ca="1" si="2"/>
        <v>-0.25369917593006547</v>
      </c>
      <c r="O5" s="86">
        <f t="shared" ca="1" si="3"/>
        <v>98.695990493421561</v>
      </c>
      <c r="P5" s="86">
        <f t="shared" ca="1" si="3"/>
        <v>77.977897778451023</v>
      </c>
      <c r="Q5" s="86">
        <f t="shared" ca="1" si="4"/>
        <v>1.3898466388622797E-2</v>
      </c>
      <c r="R5" s="86">
        <f t="shared" ca="1" si="4"/>
        <v>4.793603418680745E-3</v>
      </c>
    </row>
    <row r="6" spans="1:18">
      <c r="A6" s="86">
        <f t="shared" ca="1" si="0"/>
        <v>0.495218394715082</v>
      </c>
      <c r="B6" s="86">
        <f t="shared" ca="1" si="0"/>
        <v>1.4253985584574687</v>
      </c>
      <c r="G6" s="86">
        <f t="shared" ca="1" si="1"/>
        <v>0.495218394715082</v>
      </c>
      <c r="H6" s="86">
        <f t="shared" ca="1" si="2"/>
        <v>1.5077469988696368</v>
      </c>
      <c r="M6" s="86" t="s">
        <v>217</v>
      </c>
      <c r="O6" s="86">
        <f t="shared" ca="1" si="3"/>
        <v>99.629711749869273</v>
      </c>
      <c r="P6" s="86">
        <f t="shared" ca="1" si="3"/>
        <v>80.242468940690031</v>
      </c>
      <c r="Q6" s="86">
        <f t="shared" ca="1" si="4"/>
        <v>-9.4161083990716016E-3</v>
      </c>
      <c r="R6" s="86">
        <f t="shared" ca="1" si="4"/>
        <v>-2.8627487910268264E-2</v>
      </c>
    </row>
    <row r="7" spans="1:18">
      <c r="A7" s="86">
        <f t="shared" ca="1" si="0"/>
        <v>0.41829981146283551</v>
      </c>
      <c r="B7" s="86">
        <f t="shared" ca="1" si="0"/>
        <v>9.1744025944278607E-2</v>
      </c>
      <c r="G7" s="86">
        <f t="shared" ca="1" si="1"/>
        <v>0.41829981146283551</v>
      </c>
      <c r="H7" s="86">
        <f t="shared" ca="1" si="2"/>
        <v>0.23847608398522346</v>
      </c>
      <c r="M7" s="86">
        <f ca="1">CORREL(Q:Q,R:R)</f>
        <v>0.39505446788841492</v>
      </c>
      <c r="O7" s="86">
        <f t="shared" ca="1" si="3"/>
        <v>100.42559567218341</v>
      </c>
      <c r="P7" s="86">
        <f t="shared" ca="1" si="3"/>
        <v>80.607982106445547</v>
      </c>
      <c r="Q7" s="86">
        <f t="shared" ca="1" si="4"/>
        <v>-7.956680894249335E-3</v>
      </c>
      <c r="R7" s="86">
        <f t="shared" ca="1" si="4"/>
        <v>-4.5447655572255757E-3</v>
      </c>
    </row>
    <row r="8" spans="1:18">
      <c r="A8" s="86">
        <f t="shared" ca="1" si="0"/>
        <v>-0.49073150617878258</v>
      </c>
      <c r="B8" s="86">
        <f t="shared" ca="1" si="0"/>
        <v>-0.68885988233057804</v>
      </c>
      <c r="G8" s="86">
        <f t="shared" ca="1" si="1"/>
        <v>-0.49073150617878258</v>
      </c>
      <c r="H8" s="86">
        <f t="shared" ca="1" si="2"/>
        <v>-0.82067096768263514</v>
      </c>
      <c r="O8" s="86">
        <f t="shared" ca="1" si="3"/>
        <v>99.496864993571833</v>
      </c>
      <c r="P8" s="86">
        <f t="shared" ca="1" si="3"/>
        <v>79.364133049958937</v>
      </c>
      <c r="Q8" s="86">
        <f t="shared" ca="1" si="4"/>
        <v>9.290975674779765E-3</v>
      </c>
      <c r="R8" s="86">
        <f t="shared" ca="1" si="4"/>
        <v>1.5551136804709405E-2</v>
      </c>
    </row>
    <row r="9" spans="1:18">
      <c r="A9" s="86">
        <f t="shared" ca="1" si="0"/>
        <v>0.82208448539754175</v>
      </c>
      <c r="B9" s="86">
        <f t="shared" ca="1" si="0"/>
        <v>-1.2231590037218121</v>
      </c>
      <c r="G9" s="86">
        <f t="shared" ca="1" si="1"/>
        <v>0.82208448539754175</v>
      </c>
      <c r="H9" s="86">
        <f t="shared" ca="1" si="2"/>
        <v>-0.83740701174977072</v>
      </c>
      <c r="O9" s="86">
        <f t="shared" ca="1" si="3"/>
        <v>101.06300078070512</v>
      </c>
      <c r="P9" s="86">
        <f t="shared" ca="1" si="3"/>
        <v>78.114668840352678</v>
      </c>
      <c r="Q9" s="86">
        <f t="shared" ca="1" si="4"/>
        <v>-1.561795641766211E-2</v>
      </c>
      <c r="R9" s="86">
        <f t="shared" ca="1" si="4"/>
        <v>1.5868680914347903E-2</v>
      </c>
    </row>
    <row r="10" spans="1:18">
      <c r="A10" s="86">
        <f t="shared" ca="1" si="0"/>
        <v>1.7840578687468507</v>
      </c>
      <c r="B10" s="86">
        <f t="shared" ca="1" si="0"/>
        <v>-1.3987892918055125</v>
      </c>
      <c r="G10" s="86">
        <f t="shared" ca="1" si="1"/>
        <v>1.7840578687468507</v>
      </c>
      <c r="H10" s="86">
        <f t="shared" ca="1" si="2"/>
        <v>-0.64876890773493201</v>
      </c>
      <c r="O10" s="86">
        <f t="shared" ca="1" si="3"/>
        <v>104.5446455739054</v>
      </c>
      <c r="P10" s="86">
        <f t="shared" ca="1" si="3"/>
        <v>77.160551533161438</v>
      </c>
      <c r="Q10" s="86">
        <f t="shared" ca="1" si="4"/>
        <v>-3.3870118056714769E-2</v>
      </c>
      <c r="R10" s="86">
        <f t="shared" ca="1" si="4"/>
        <v>1.2289524541252098E-2</v>
      </c>
    </row>
    <row r="11" spans="1:18">
      <c r="A11" s="86">
        <f t="shared" ca="1" si="0"/>
        <v>0.1860998425134209</v>
      </c>
      <c r="B11" s="86">
        <f t="shared" ca="1" si="0"/>
        <v>1.3786703783465843</v>
      </c>
      <c r="G11" s="86">
        <f t="shared" ca="1" si="1"/>
        <v>0.1860998425134209</v>
      </c>
      <c r="H11" s="86">
        <f t="shared" ca="1" si="2"/>
        <v>1.3511236704150764</v>
      </c>
      <c r="O11" s="86">
        <f t="shared" ca="1" si="3"/>
        <v>104.9165431306331</v>
      </c>
      <c r="P11" s="86">
        <f t="shared" ca="1" si="3"/>
        <v>79.165777654959626</v>
      </c>
      <c r="Q11" s="86">
        <f t="shared" ca="1" si="4"/>
        <v>-3.550996247246255E-3</v>
      </c>
      <c r="R11" s="86">
        <f t="shared" ca="1" si="4"/>
        <v>-2.5655769194469921E-2</v>
      </c>
    </row>
    <row r="12" spans="1:18">
      <c r="A12" s="86">
        <f t="shared" ca="1" si="0"/>
        <v>-1.6678072884833783</v>
      </c>
      <c r="B12" s="86">
        <f t="shared" ca="1" si="0"/>
        <v>9.8397074557187852E-2</v>
      </c>
      <c r="G12" s="86">
        <f t="shared" ca="1" si="1"/>
        <v>-1.6678072884833783</v>
      </c>
      <c r="H12" s="86">
        <f t="shared" ca="1" si="2"/>
        <v>-0.51884768875471587</v>
      </c>
      <c r="O12" s="86">
        <f t="shared" ca="1" si="3"/>
        <v>101.65053349456373</v>
      </c>
      <c r="P12" s="86">
        <f t="shared" ca="1" si="3"/>
        <v>78.391826052843072</v>
      </c>
      <c r="Q12" s="86">
        <f t="shared" ca="1" si="4"/>
        <v>3.1624418379022017E-2</v>
      </c>
      <c r="R12" s="86">
        <f t="shared" ca="1" si="4"/>
        <v>9.824442731074131E-3</v>
      </c>
    </row>
    <row r="13" spans="1:18">
      <c r="A13" s="86">
        <f t="shared" ca="1" si="0"/>
        <v>-0.68320934590995808</v>
      </c>
      <c r="B13" s="86">
        <f t="shared" ca="1" si="0"/>
        <v>-0.64173025972855935</v>
      </c>
      <c r="G13" s="86">
        <f t="shared" ca="1" si="1"/>
        <v>-0.68320934590995808</v>
      </c>
      <c r="H13" s="86">
        <f t="shared" ca="1" si="2"/>
        <v>-0.84725833033161568</v>
      </c>
      <c r="O13" s="86">
        <f t="shared" ca="1" si="3"/>
        <v>100.34334975044668</v>
      </c>
      <c r="P13" s="86">
        <f t="shared" ca="1" si="3"/>
        <v>77.143248670503141</v>
      </c>
      <c r="Q13" s="86">
        <f t="shared" ca="1" si="4"/>
        <v>1.2942985910735972E-2</v>
      </c>
      <c r="R13" s="86">
        <f t="shared" ca="1" si="4"/>
        <v>1.6055596542395571E-2</v>
      </c>
    </row>
    <row r="14" spans="1:18">
      <c r="A14" s="86">
        <f t="shared" ca="1" si="0"/>
        <v>1.3984551126149254</v>
      </c>
      <c r="B14" s="86">
        <f t="shared" ca="1" si="0"/>
        <v>-0.6986145452485476</v>
      </c>
      <c r="G14" s="86">
        <f t="shared" ca="1" si="1"/>
        <v>1.3984551126149254</v>
      </c>
      <c r="H14" s="86">
        <f t="shared" ca="1" si="2"/>
        <v>-0.1383064993773736</v>
      </c>
      <c r="O14" s="86">
        <f t="shared" ca="1" si="3"/>
        <v>103.0435405471613</v>
      </c>
      <c r="P14" s="86">
        <f t="shared" ca="1" si="3"/>
        <v>76.94261501998561</v>
      </c>
      <c r="Q14" s="86">
        <f t="shared" ca="1" si="4"/>
        <v>-2.6553820168222511E-2</v>
      </c>
      <c r="R14" s="86">
        <f t="shared" ca="1" si="4"/>
        <v>2.6041813194229357E-3</v>
      </c>
    </row>
    <row r="15" spans="1:18">
      <c r="A15" s="86">
        <f t="shared" ca="1" si="0"/>
        <v>-5.1564700177106647E-2</v>
      </c>
      <c r="B15" s="86">
        <f t="shared" ca="1" si="0"/>
        <v>-3.6417268773633196</v>
      </c>
      <c r="G15" s="86">
        <f t="shared" ca="1" si="1"/>
        <v>-5.1564700177106647E-2</v>
      </c>
      <c r="H15" s="86">
        <f t="shared" ca="1" si="2"/>
        <v>-3.4079177938605918</v>
      </c>
      <c r="O15" s="86">
        <f t="shared" ca="1" si="3"/>
        <v>102.94483387168486</v>
      </c>
      <c r="P15" s="86">
        <f t="shared" ca="1" si="3"/>
        <v>72.126331862270632</v>
      </c>
      <c r="Q15" s="86">
        <f t="shared" ca="1" si="4"/>
        <v>9.5837139654017869E-4</v>
      </c>
      <c r="R15" s="86">
        <f t="shared" ca="1" si="4"/>
        <v>6.4640693843293892E-2</v>
      </c>
    </row>
    <row r="16" spans="1:18">
      <c r="A16" s="86">
        <f t="shared" ca="1" si="0"/>
        <v>-0.42627858920185263</v>
      </c>
      <c r="B16" s="86">
        <f t="shared" ca="1" si="0"/>
        <v>-6.3653889400254529E-2</v>
      </c>
      <c r="G16" s="86">
        <f t="shared" ca="1" si="1"/>
        <v>-0.42627858920185263</v>
      </c>
      <c r="H16" s="86">
        <f t="shared" ca="1" si="2"/>
        <v>-0.21525521841682657</v>
      </c>
      <c r="O16" s="86">
        <f t="shared" ca="1" si="3"/>
        <v>102.11760953544578</v>
      </c>
      <c r="P16" s="86">
        <f t="shared" ca="1" si="3"/>
        <v>71.833792292295968</v>
      </c>
      <c r="Q16" s="86">
        <f t="shared" ca="1" si="4"/>
        <v>8.0680675578467011E-3</v>
      </c>
      <c r="R16" s="86">
        <f t="shared" ca="1" si="4"/>
        <v>4.0641806106050333E-3</v>
      </c>
    </row>
    <row r="17" spans="1:18">
      <c r="A17" s="86">
        <f t="shared" ca="1" si="0"/>
        <v>9.5971883374690189E-2</v>
      </c>
      <c r="B17" s="86">
        <f t="shared" ca="1" si="0"/>
        <v>-1.0431539448716862</v>
      </c>
      <c r="G17" s="86">
        <f t="shared" ca="1" si="1"/>
        <v>9.5971883374690189E-2</v>
      </c>
      <c r="H17" s="86">
        <f t="shared" ca="1" si="2"/>
        <v>-0.93564884315628938</v>
      </c>
      <c r="O17" s="86">
        <f t="shared" ca="1" si="3"/>
        <v>102.30577491725802</v>
      </c>
      <c r="P17" s="86">
        <f t="shared" ca="1" si="3"/>
        <v>70.571213564305268</v>
      </c>
      <c r="Q17" s="86">
        <f t="shared" ca="1" si="4"/>
        <v>-1.8409384568003118E-3</v>
      </c>
      <c r="R17" s="86">
        <f t="shared" ca="1" si="4"/>
        <v>1.7732688606852998E-2</v>
      </c>
    </row>
    <row r="18" spans="1:18">
      <c r="A18" s="86">
        <f t="shared" ca="1" si="0"/>
        <v>0.30714805808143159</v>
      </c>
      <c r="B18" s="86">
        <f t="shared" ca="1" si="0"/>
        <v>1.812113297064679E-2</v>
      </c>
      <c r="G18" s="86">
        <f t="shared" ca="1" si="1"/>
        <v>0.30714805808143159</v>
      </c>
      <c r="H18" s="86">
        <f t="shared" ca="1" si="2"/>
        <v>0.12927998470845406</v>
      </c>
      <c r="O18" s="86">
        <f t="shared" ca="1" si="3"/>
        <v>102.90578355237713</v>
      </c>
      <c r="P18" s="86">
        <f t="shared" ca="1" si="3"/>
        <v>70.745946154605846</v>
      </c>
      <c r="Q18" s="86">
        <f t="shared" ca="1" si="4"/>
        <v>-5.8477246546101529E-3</v>
      </c>
      <c r="R18" s="86">
        <f t="shared" ca="1" si="4"/>
        <v>-2.472915245302818E-3</v>
      </c>
    </row>
    <row r="19" spans="1:18">
      <c r="A19" s="86">
        <f t="shared" ca="1" si="0"/>
        <v>0.38806107129124651</v>
      </c>
      <c r="B19" s="86">
        <f t="shared" ca="1" si="0"/>
        <v>-1.0375606931491768</v>
      </c>
      <c r="G19" s="86">
        <f t="shared" ca="1" si="1"/>
        <v>0.38806107129124651</v>
      </c>
      <c r="H19" s="86">
        <f t="shared" ca="1" si="2"/>
        <v>-0.82353903726319111</v>
      </c>
      <c r="O19" s="86">
        <f t="shared" ca="1" si="3"/>
        <v>103.66834239496576</v>
      </c>
      <c r="P19" s="86">
        <f t="shared" ca="1" si="3"/>
        <v>69.650486290261625</v>
      </c>
      <c r="Q19" s="86">
        <f t="shared" ca="1" si="4"/>
        <v>-7.3829411391518477E-3</v>
      </c>
      <c r="R19" s="86">
        <f t="shared" ca="1" si="4"/>
        <v>1.5605554598883709E-2</v>
      </c>
    </row>
    <row r="20" spans="1:18">
      <c r="A20" s="86">
        <f t="shared" ca="1" si="0"/>
        <v>1.0898811522246024</v>
      </c>
      <c r="B20" s="86">
        <f t="shared" ca="1" si="0"/>
        <v>-0.12400999076009822</v>
      </c>
      <c r="G20" s="86">
        <f t="shared" ca="1" si="1"/>
        <v>1.0898811522246024</v>
      </c>
      <c r="H20" s="86">
        <f t="shared" ca="1" si="2"/>
        <v>0.28349096270056617</v>
      </c>
      <c r="O20" s="86">
        <f t="shared" ref="O20:P35" ca="1" si="5">O19*EXP((0.05-0.3^2/2)*1/250+0.3*SQRT(1/250)*G20)</f>
        <v>105.8365400490478</v>
      </c>
      <c r="P20" s="86">
        <f t="shared" ca="1" si="5"/>
        <v>70.027536617384953</v>
      </c>
      <c r="Q20" s="86">
        <f t="shared" ca="1" si="4"/>
        <v>-2.0699040919510643E-2</v>
      </c>
      <c r="R20" s="86">
        <f t="shared" ca="1" si="4"/>
        <v>-5.3988628292459427E-3</v>
      </c>
    </row>
    <row r="21" spans="1:18">
      <c r="A21" s="86">
        <f t="shared" ca="1" si="0"/>
        <v>1.1115365922389358</v>
      </c>
      <c r="B21" s="86">
        <f t="shared" ca="1" si="0"/>
        <v>-0.61958578706084566</v>
      </c>
      <c r="G21" s="86">
        <f t="shared" ca="1" si="1"/>
        <v>1.1115365922389358</v>
      </c>
      <c r="H21" s="86">
        <f t="shared" ca="1" si="2"/>
        <v>-0.16977334184771137</v>
      </c>
      <c r="O21" s="86">
        <f t="shared" ca="1" si="5"/>
        <v>108.09449009328584</v>
      </c>
      <c r="P21" s="86">
        <f t="shared" ca="1" si="5"/>
        <v>69.803721311580958</v>
      </c>
      <c r="Q21" s="86">
        <f t="shared" ca="1" si="4"/>
        <v>-2.1109924004581216E-2</v>
      </c>
      <c r="R21" s="86">
        <f t="shared" ca="1" si="4"/>
        <v>3.2012226773030089E-3</v>
      </c>
    </row>
    <row r="22" spans="1:18">
      <c r="A22" s="86">
        <f t="shared" ca="1" si="0"/>
        <v>-1.0677884735291177</v>
      </c>
      <c r="B22" s="86">
        <f t="shared" ca="1" si="0"/>
        <v>0.5644353455183525</v>
      </c>
      <c r="G22" s="86">
        <f t="shared" ca="1" si="1"/>
        <v>-1.0677884735291177</v>
      </c>
      <c r="H22" s="86">
        <f t="shared" ca="1" si="2"/>
        <v>0.1344613333835733</v>
      </c>
      <c r="O22" s="86">
        <f t="shared" ca="1" si="5"/>
        <v>105.92866449213777</v>
      </c>
      <c r="P22" s="86">
        <f t="shared" ca="1" si="5"/>
        <v>69.983433285623036</v>
      </c>
      <c r="Q22" s="86">
        <f t="shared" ca="1" si="4"/>
        <v>2.0239861813758551E-2</v>
      </c>
      <c r="R22" s="86">
        <f t="shared" ca="1" si="4"/>
        <v>-2.5712244242920659E-3</v>
      </c>
    </row>
    <row r="23" spans="1:18">
      <c r="A23" s="86">
        <f t="shared" ca="1" si="0"/>
        <v>-1.3555639592111648</v>
      </c>
      <c r="B23" s="86">
        <f t="shared" ca="1" si="0"/>
        <v>-1.4950431618501767</v>
      </c>
      <c r="G23" s="86">
        <f t="shared" ca="1" si="1"/>
        <v>-1.3555639592111648</v>
      </c>
      <c r="H23" s="86">
        <f t="shared" ca="1" si="2"/>
        <v>-1.8874457776507199</v>
      </c>
      <c r="O23" s="86">
        <f t="shared" ca="1" si="5"/>
        <v>103.24098062682445</v>
      </c>
      <c r="P23" s="86">
        <f t="shared" ca="1" si="5"/>
        <v>67.522898742992552</v>
      </c>
      <c r="Q23" s="86">
        <f t="shared" ca="1" si="4"/>
        <v>2.5700017750857063E-2</v>
      </c>
      <c r="R23" s="86">
        <f t="shared" ca="1" si="4"/>
        <v>3.5791765704663872E-2</v>
      </c>
    </row>
    <row r="24" spans="1:18">
      <c r="A24" s="86">
        <f t="shared" ca="1" si="0"/>
        <v>0.46657397895958841</v>
      </c>
      <c r="B24" s="86">
        <f t="shared" ca="1" si="0"/>
        <v>0.59115292268140762</v>
      </c>
      <c r="G24" s="86">
        <f t="shared" ca="1" si="1"/>
        <v>0.46657397895958841</v>
      </c>
      <c r="H24" s="86">
        <f t="shared" ca="1" si="2"/>
        <v>0.72090176507217274</v>
      </c>
      <c r="O24" s="86">
        <f t="shared" ca="1" si="5"/>
        <v>104.1610742788901</v>
      </c>
      <c r="P24" s="86">
        <f t="shared" ca="1" si="5"/>
        <v>68.454201489525943</v>
      </c>
      <c r="Q24" s="86">
        <f t="shared" ca="1" si="4"/>
        <v>-8.8726188228786598E-3</v>
      </c>
      <c r="R24" s="86">
        <f t="shared" ca="1" si="4"/>
        <v>-1.3698149281182074E-2</v>
      </c>
    </row>
    <row r="25" spans="1:18">
      <c r="A25" s="86">
        <f t="shared" ca="1" si="0"/>
        <v>1.3505337090859726</v>
      </c>
      <c r="B25" s="86">
        <f t="shared" ca="1" si="0"/>
        <v>0.41585334780584632</v>
      </c>
      <c r="G25" s="86">
        <f t="shared" ca="1" si="1"/>
        <v>1.3505337090859726</v>
      </c>
      <c r="H25" s="86">
        <f t="shared" ca="1" si="2"/>
        <v>0.88129463863017687</v>
      </c>
      <c r="O25" s="86">
        <f t="shared" ca="1" si="5"/>
        <v>106.86678594088016</v>
      </c>
      <c r="P25" s="86">
        <f t="shared" ca="1" si="5"/>
        <v>69.609866709056462</v>
      </c>
      <c r="Q25" s="86">
        <f t="shared" ca="1" si="4"/>
        <v>-2.5644575465281337E-2</v>
      </c>
      <c r="R25" s="86">
        <f t="shared" ca="1" si="4"/>
        <v>-1.674139008659831E-2</v>
      </c>
    </row>
    <row r="26" spans="1:18">
      <c r="A26" s="86">
        <f t="shared" ca="1" si="0"/>
        <v>0.81467248495843037</v>
      </c>
      <c r="B26" s="86">
        <f t="shared" ca="1" si="0"/>
        <v>0.92100002121342861</v>
      </c>
      <c r="G26" s="86">
        <f t="shared" ca="1" si="1"/>
        <v>0.81467248495843037</v>
      </c>
      <c r="H26" s="86">
        <f t="shared" ca="1" si="2"/>
        <v>1.1552664265610995</v>
      </c>
      <c r="O26" s="86">
        <f t="shared" ca="1" si="5"/>
        <v>108.53366389888185</v>
      </c>
      <c r="P26" s="86">
        <f t="shared" ca="1" si="5"/>
        <v>71.153958546895879</v>
      </c>
      <c r="Q26" s="86">
        <f t="shared" ca="1" si="4"/>
        <v>-1.5477323597227368E-2</v>
      </c>
      <c r="R26" s="86">
        <f t="shared" ca="1" si="4"/>
        <v>-2.1939639273540226E-2</v>
      </c>
    </row>
    <row r="27" spans="1:18">
      <c r="A27" s="86">
        <f t="shared" ca="1" si="0"/>
        <v>-0.59786920711725788</v>
      </c>
      <c r="B27" s="86">
        <f t="shared" ca="1" si="0"/>
        <v>-0.39785052865509235</v>
      </c>
      <c r="G27" s="86">
        <f t="shared" ca="1" si="1"/>
        <v>-0.59786920711725788</v>
      </c>
      <c r="H27" s="86">
        <f t="shared" ca="1" si="2"/>
        <v>-0.58906574005679069</v>
      </c>
      <c r="O27" s="86">
        <f t="shared" ca="1" si="5"/>
        <v>107.31158590797986</v>
      </c>
      <c r="P27" s="86">
        <f t="shared" ca="1" si="5"/>
        <v>70.364524517028372</v>
      </c>
      <c r="Q27" s="86">
        <f t="shared" ca="1" si="4"/>
        <v>1.1323770624216889E-2</v>
      </c>
      <c r="R27" s="86">
        <f t="shared" ca="1" si="4"/>
        <v>1.1156736580912962E-2</v>
      </c>
    </row>
    <row r="28" spans="1:18">
      <c r="A28" s="86">
        <f t="shared" ca="1" si="0"/>
        <v>-0.37142198340100507</v>
      </c>
      <c r="B28" s="86">
        <f t="shared" ca="1" si="0"/>
        <v>0.51858599023900442</v>
      </c>
      <c r="G28" s="86">
        <f t="shared" ca="1" si="1"/>
        <v>-0.37142198340100507</v>
      </c>
      <c r="H28" s="86">
        <f t="shared" ca="1" si="2"/>
        <v>0.34666337786093959</v>
      </c>
      <c r="O28" s="86">
        <f t="shared" ca="1" si="5"/>
        <v>106.56012543686701</v>
      </c>
      <c r="P28" s="86">
        <f t="shared" ca="1" si="5"/>
        <v>70.830287458021559</v>
      </c>
      <c r="Q28" s="86">
        <f t="shared" ca="1" si="4"/>
        <v>7.0272366436267188E-3</v>
      </c>
      <c r="R28" s="86">
        <f t="shared" ca="1" si="4"/>
        <v>-6.5974751324488707E-3</v>
      </c>
    </row>
    <row r="29" spans="1:18">
      <c r="A29" s="86">
        <f t="shared" ca="1" si="0"/>
        <v>-0.20484397706667351</v>
      </c>
      <c r="B29" s="86">
        <f t="shared" ca="1" si="0"/>
        <v>-1.4885614026879053</v>
      </c>
      <c r="G29" s="86">
        <f t="shared" ca="1" si="1"/>
        <v>-0.20484397706667351</v>
      </c>
      <c r="H29" s="86">
        <f t="shared" ca="1" si="2"/>
        <v>-1.4602502428519613</v>
      </c>
      <c r="O29" s="86">
        <f t="shared" ca="1" si="5"/>
        <v>106.14889122604042</v>
      </c>
      <c r="P29" s="86">
        <f t="shared" ca="1" si="5"/>
        <v>68.896156853625456</v>
      </c>
      <c r="Q29" s="86">
        <f t="shared" ca="1" si="4"/>
        <v>3.866641194987786E-3</v>
      </c>
      <c r="R29" s="86">
        <f t="shared" ca="1" si="4"/>
        <v>2.7686300327357069E-2</v>
      </c>
    </row>
    <row r="30" spans="1:18">
      <c r="A30" s="86">
        <f t="shared" ca="1" si="0"/>
        <v>-0.89333686362701292</v>
      </c>
      <c r="B30" s="86">
        <f t="shared" ca="1" si="0"/>
        <v>0.99386674292489308</v>
      </c>
      <c r="G30" s="86">
        <f t="shared" ca="1" si="1"/>
        <v>-0.89333686362701292</v>
      </c>
      <c r="H30" s="86">
        <f t="shared" ca="1" si="2"/>
        <v>0.59794585831189684</v>
      </c>
      <c r="O30" s="86">
        <f t="shared" ca="1" si="5"/>
        <v>104.36693048911043</v>
      </c>
      <c r="P30" s="86">
        <f t="shared" ca="1" si="5"/>
        <v>69.68364368238862</v>
      </c>
      <c r="Q30" s="86">
        <f t="shared" ca="1" si="4"/>
        <v>1.6929875241115434E-2</v>
      </c>
      <c r="R30" s="86">
        <f t="shared" ca="1" si="4"/>
        <v>-1.1365224978379423E-2</v>
      </c>
    </row>
    <row r="31" spans="1:18">
      <c r="A31" s="86">
        <f t="shared" ca="1" si="0"/>
        <v>-0.76372545986401963</v>
      </c>
      <c r="B31" s="86">
        <f t="shared" ca="1" si="0"/>
        <v>0.56082989859691024</v>
      </c>
      <c r="G31" s="86">
        <f t="shared" ca="1" si="1"/>
        <v>-0.76372545986401963</v>
      </c>
      <c r="H31" s="86">
        <f t="shared" ca="1" si="2"/>
        <v>0.24239311393715951</v>
      </c>
      <c r="O31" s="86">
        <f t="shared" ca="1" si="5"/>
        <v>102.86754561267274</v>
      </c>
      <c r="P31" s="86">
        <f t="shared" ca="1" si="5"/>
        <v>70.0062629530739</v>
      </c>
      <c r="Q31" s="86">
        <f t="shared" ca="1" si="4"/>
        <v>1.4470671761378806E-2</v>
      </c>
      <c r="R31" s="86">
        <f t="shared" ca="1" si="4"/>
        <v>-4.6190859750926882E-3</v>
      </c>
    </row>
    <row r="32" spans="1:18">
      <c r="A32" s="86">
        <f t="shared" ca="1" si="0"/>
        <v>-0.70753603454148384</v>
      </c>
      <c r="B32" s="86">
        <f t="shared" ca="1" si="0"/>
        <v>0.16901613671359916</v>
      </c>
      <c r="G32" s="86">
        <f t="shared" ca="1" si="1"/>
        <v>-0.70753603454148384</v>
      </c>
      <c r="H32" s="86">
        <f t="shared" ca="1" si="2"/>
        <v>-0.10166926183974842</v>
      </c>
      <c r="O32" s="86">
        <f t="shared" ca="1" si="5"/>
        <v>101.49785277854704</v>
      </c>
      <c r="P32" s="86">
        <f t="shared" ca="1" si="5"/>
        <v>69.872745779238798</v>
      </c>
      <c r="Q32" s="86">
        <f t="shared" ca="1" si="4"/>
        <v>1.3404552374767885E-2</v>
      </c>
      <c r="R32" s="86">
        <f t="shared" ca="1" si="4"/>
        <v>1.9090386126497524E-3</v>
      </c>
    </row>
    <row r="33" spans="1:18">
      <c r="A33" s="86">
        <f t="shared" ca="1" si="0"/>
        <v>-0.6544193115269652</v>
      </c>
      <c r="B33" s="86">
        <f t="shared" ca="1" si="0"/>
        <v>-5.8586934309995752E-2</v>
      </c>
      <c r="G33" s="86">
        <f t="shared" ca="1" si="1"/>
        <v>-0.6544193115269652</v>
      </c>
      <c r="H33" s="86">
        <f t="shared" ca="1" si="2"/>
        <v>-0.29403933913392777</v>
      </c>
      <c r="O33" s="86">
        <f t="shared" ca="1" si="5"/>
        <v>100.24737787172252</v>
      </c>
      <c r="P33" s="86">
        <f t="shared" ca="1" si="5"/>
        <v>69.485400516444372</v>
      </c>
      <c r="Q33" s="86">
        <f t="shared" ca="1" si="4"/>
        <v>1.2396733415346962E-2</v>
      </c>
      <c r="R33" s="86">
        <f t="shared" ca="1" si="4"/>
        <v>5.559004200123464E-3</v>
      </c>
    </row>
    <row r="34" spans="1:18">
      <c r="A34" s="86">
        <f t="shared" ca="1" si="0"/>
        <v>-0.6719186625301683</v>
      </c>
      <c r="B34" s="86">
        <f t="shared" ca="1" si="0"/>
        <v>-0.62378300757757144</v>
      </c>
      <c r="G34" s="86">
        <f t="shared" ca="1" si="1"/>
        <v>-0.6719186625301683</v>
      </c>
      <c r="H34" s="86">
        <f t="shared" ca="1" si="2"/>
        <v>-0.82642396083695679</v>
      </c>
      <c r="O34" s="86">
        <f t="shared" ca="1" si="5"/>
        <v>98.979439791810776</v>
      </c>
      <c r="P34" s="86">
        <f t="shared" ca="1" si="5"/>
        <v>68.405715003260369</v>
      </c>
      <c r="Q34" s="86">
        <f t="shared" ca="1" si="4"/>
        <v>1.2728760255816195E-2</v>
      </c>
      <c r="R34" s="86">
        <f t="shared" ca="1" si="4"/>
        <v>1.5660292175095614E-2</v>
      </c>
    </row>
    <row r="35" spans="1:18">
      <c r="A35" s="86">
        <f t="shared" ca="1" si="0"/>
        <v>9.5555177350919951E-2</v>
      </c>
      <c r="B35" s="86">
        <f t="shared" ca="1" si="0"/>
        <v>0.81567400657198896</v>
      </c>
      <c r="G35" s="86">
        <f t="shared" ca="1" si="1"/>
        <v>9.5555177350919951E-2</v>
      </c>
      <c r="H35" s="86">
        <f t="shared" ca="1" si="2"/>
        <v>0.79405153860581312</v>
      </c>
      <c r="O35" s="86">
        <f t="shared" ca="1" si="5"/>
        <v>99.161038661288288</v>
      </c>
      <c r="P35" s="86">
        <f t="shared" ca="1" si="5"/>
        <v>69.445511818381263</v>
      </c>
      <c r="Q35" s="86">
        <f t="shared" ca="1" si="4"/>
        <v>-1.8330320159015009E-3</v>
      </c>
      <c r="R35" s="86">
        <f t="shared" ca="1" si="4"/>
        <v>-1.508606864933296E-2</v>
      </c>
    </row>
    <row r="36" spans="1:18">
      <c r="A36" s="86">
        <f t="shared" ca="1" si="0"/>
        <v>-0.98587131650164139</v>
      </c>
      <c r="B36" s="86">
        <f t="shared" ca="1" si="0"/>
        <v>-0.12950012769926394</v>
      </c>
      <c r="G36" s="86">
        <f t="shared" ca="1" si="1"/>
        <v>-0.98587131650164139</v>
      </c>
      <c r="H36" s="86">
        <f t="shared" ca="1" si="2"/>
        <v>-0.48134364382019035</v>
      </c>
      <c r="O36" s="86">
        <f t="shared" ref="O36:P51" ca="1" si="6">O35*EXP((0.05-0.3^2/2)*1/250+0.3*SQRT(1/250)*G36)</f>
        <v>97.325359633599291</v>
      </c>
      <c r="P36" s="86">
        <f t="shared" ca="1" si="6"/>
        <v>68.815539823102213</v>
      </c>
      <c r="Q36" s="86">
        <f t="shared" ca="1" si="4"/>
        <v>1.8685593039843733E-2</v>
      </c>
      <c r="R36" s="86">
        <f t="shared" ca="1" si="4"/>
        <v>9.1128535102997493E-3</v>
      </c>
    </row>
    <row r="37" spans="1:18">
      <c r="A37" s="86">
        <f t="shared" ca="1" si="0"/>
        <v>-0.86934964512794888</v>
      </c>
      <c r="B37" s="86">
        <f t="shared" ca="1" si="0"/>
        <v>-1.1671209832722469</v>
      </c>
      <c r="G37" s="86">
        <f t="shared" ca="1" si="1"/>
        <v>-0.86934964512794888</v>
      </c>
      <c r="H37" s="86">
        <f t="shared" ca="1" si="2"/>
        <v>-1.4043220894982433</v>
      </c>
      <c r="O37" s="86">
        <f t="shared" ca="1" si="6"/>
        <v>95.735084349910991</v>
      </c>
      <c r="P37" s="86">
        <f t="shared" ca="1" si="6"/>
        <v>67.007493118599399</v>
      </c>
      <c r="Q37" s="86">
        <f t="shared" ca="1" si="4"/>
        <v>1.6474749769980427E-2</v>
      </c>
      <c r="R37" s="86">
        <f t="shared" ca="1" si="4"/>
        <v>2.6625138227807741E-2</v>
      </c>
    </row>
    <row r="38" spans="1:18">
      <c r="A38" s="86">
        <f t="shared" ca="1" si="0"/>
        <v>-0.66654175753005496</v>
      </c>
      <c r="B38" s="86">
        <f t="shared" ca="1" si="0"/>
        <v>-0.45210071211012637</v>
      </c>
      <c r="G38" s="86">
        <f t="shared" ca="1" si="1"/>
        <v>-0.66654175753005496</v>
      </c>
      <c r="H38" s="86">
        <f t="shared" ca="1" si="2"/>
        <v>-0.6646859198743198</v>
      </c>
      <c r="O38" s="86">
        <f t="shared" ca="1" si="6"/>
        <v>94.533861989367011</v>
      </c>
      <c r="P38" s="86">
        <f t="shared" ca="1" si="6"/>
        <v>66.169056031600576</v>
      </c>
      <c r="Q38" s="86">
        <f t="shared" ca="1" si="4"/>
        <v>1.2626740656439851E-2</v>
      </c>
      <c r="R38" s="86">
        <f t="shared" ca="1" si="4"/>
        <v>1.259152861268205E-2</v>
      </c>
    </row>
    <row r="39" spans="1:18">
      <c r="A39" s="86">
        <f t="shared" ca="1" si="0"/>
        <v>1.2813161556755959</v>
      </c>
      <c r="B39" s="86">
        <f t="shared" ca="1" si="0"/>
        <v>0.13879981428864491</v>
      </c>
      <c r="G39" s="86">
        <f t="shared" ca="1" si="1"/>
        <v>1.2813161556755959</v>
      </c>
      <c r="H39" s="86">
        <f t="shared" ca="1" si="2"/>
        <v>0.59813088140307547</v>
      </c>
      <c r="O39" s="86">
        <f t="shared" ca="1" si="6"/>
        <v>96.862201265231263</v>
      </c>
      <c r="P39" s="86">
        <f t="shared" ca="1" si="6"/>
        <v>66.925606895667613</v>
      </c>
      <c r="Q39" s="86">
        <f t="shared" ca="1" si="4"/>
        <v>-2.4331264728234728E-2</v>
      </c>
      <c r="R39" s="86">
        <f t="shared" ca="1" si="4"/>
        <v>-1.1368735544706533E-2</v>
      </c>
    </row>
    <row r="40" spans="1:18">
      <c r="A40" s="86">
        <f t="shared" ca="1" si="0"/>
        <v>1.6194789008370365</v>
      </c>
      <c r="B40" s="86">
        <f t="shared" ca="1" si="0"/>
        <v>6.8861001045218473E-2</v>
      </c>
      <c r="G40" s="86">
        <f t="shared" ca="1" si="1"/>
        <v>1.6194789008370365</v>
      </c>
      <c r="H40" s="86">
        <f t="shared" ca="1" si="2"/>
        <v>0.65681234790039944</v>
      </c>
      <c r="O40" s="86">
        <f t="shared" ca="1" si="6"/>
        <v>99.886727070361616</v>
      </c>
      <c r="P40" s="86">
        <f t="shared" ca="1" si="6"/>
        <v>67.766216953826856</v>
      </c>
      <c r="Q40" s="86">
        <f t="shared" ca="1" si="4"/>
        <v>-3.0747451695386056E-2</v>
      </c>
      <c r="R40" s="86">
        <f t="shared" ca="1" si="4"/>
        <v>-1.2482138088129056E-2</v>
      </c>
    </row>
    <row r="41" spans="1:18">
      <c r="A41" s="86">
        <f t="shared" ca="1" si="0"/>
        <v>-3.1531348990646868</v>
      </c>
      <c r="B41" s="86">
        <f t="shared" ca="1" si="0"/>
        <v>-0.29184683335926154</v>
      </c>
      <c r="G41" s="86">
        <f t="shared" ca="1" si="1"/>
        <v>-3.1531348990646868</v>
      </c>
      <c r="H41" s="86">
        <f t="shared" ca="1" si="2"/>
        <v>-1.4256443702577286</v>
      </c>
      <c r="O41" s="86">
        <f t="shared" ca="1" si="6"/>
        <v>94.087978530571164</v>
      </c>
      <c r="P41" s="86">
        <f t="shared" ca="1" si="6"/>
        <v>65.959050050718432</v>
      </c>
      <c r="Q41" s="86">
        <f t="shared" ca="1" si="4"/>
        <v>5.9806528304857109E-2</v>
      </c>
      <c r="R41" s="86">
        <f t="shared" ca="1" si="4"/>
        <v>2.7029700060465092E-2</v>
      </c>
    </row>
    <row r="42" spans="1:18">
      <c r="A42" s="86">
        <f t="shared" ca="1" si="0"/>
        <v>-0.15105144172715559</v>
      </c>
      <c r="B42" s="86">
        <f t="shared" ca="1" si="0"/>
        <v>-0.49834965036583334</v>
      </c>
      <c r="G42" s="86">
        <f t="shared" ca="1" si="1"/>
        <v>-0.15105144172715559</v>
      </c>
      <c r="H42" s="86">
        <f t="shared" ca="1" si="2"/>
        <v>-0.51905641305179429</v>
      </c>
      <c r="O42" s="86">
        <f t="shared" ca="1" si="6"/>
        <v>93.820584863091483</v>
      </c>
      <c r="P42" s="86">
        <f t="shared" ca="1" si="6"/>
        <v>65.313953254106821</v>
      </c>
      <c r="Q42" s="86">
        <f t="shared" ca="1" si="4"/>
        <v>2.8459995982600453E-3</v>
      </c>
      <c r="R42" s="86">
        <f t="shared" ca="1" si="4"/>
        <v>9.8284029961650879E-3</v>
      </c>
    </row>
    <row r="43" spans="1:18">
      <c r="A43" s="86">
        <f t="shared" ca="1" si="0"/>
        <v>-0.42831838053993315</v>
      </c>
      <c r="B43" s="86">
        <f t="shared" ca="1" si="0"/>
        <v>1.3345660229345699</v>
      </c>
      <c r="G43" s="86">
        <f t="shared" ca="1" si="1"/>
        <v>-0.42831838053993315</v>
      </c>
      <c r="H43" s="86">
        <f t="shared" ca="1" si="2"/>
        <v>1.0852024326587144</v>
      </c>
      <c r="O43" s="86">
        <f t="shared" ca="1" si="6"/>
        <v>93.063077589018448</v>
      </c>
      <c r="P43" s="86">
        <f t="shared" ca="1" si="6"/>
        <v>66.674059294490689</v>
      </c>
      <c r="Q43" s="86">
        <f t="shared" ca="1" si="4"/>
        <v>8.1067698773255766E-3</v>
      </c>
      <c r="R43" s="86">
        <f t="shared" ca="1" si="4"/>
        <v>-2.0610268457342307E-2</v>
      </c>
    </row>
    <row r="44" spans="1:18">
      <c r="A44" s="86">
        <f t="shared" ca="1" si="0"/>
        <v>-0.10090374244910136</v>
      </c>
      <c r="B44" s="86">
        <f t="shared" ca="1" si="0"/>
        <v>2.0554102250707338</v>
      </c>
      <c r="G44" s="86">
        <f t="shared" ca="1" si="1"/>
        <v>-0.10090374244910136</v>
      </c>
      <c r="H44" s="86">
        <f t="shared" ca="1" si="2"/>
        <v>1.875864509615875</v>
      </c>
      <c r="O44" s="86">
        <f t="shared" ca="1" si="6"/>
        <v>92.886935199415646</v>
      </c>
      <c r="P44" s="86">
        <f t="shared" ca="1" si="6"/>
        <v>69.091242611569839</v>
      </c>
      <c r="Q44" s="86">
        <f t="shared" ca="1" si="4"/>
        <v>1.8945139034451364E-3</v>
      </c>
      <c r="R44" s="86">
        <f t="shared" ca="1" si="4"/>
        <v>-3.5612026593565924E-2</v>
      </c>
    </row>
    <row r="45" spans="1:18">
      <c r="A45" s="86">
        <f t="shared" ca="1" si="0"/>
        <v>0.39992398975990945</v>
      </c>
      <c r="B45" s="86">
        <f t="shared" ca="1" si="0"/>
        <v>-0.83233875196029927</v>
      </c>
      <c r="G45" s="86">
        <f t="shared" ca="1" si="1"/>
        <v>0.39992398975990945</v>
      </c>
      <c r="H45" s="86">
        <f t="shared" ca="1" si="2"/>
        <v>-0.62821462298167097</v>
      </c>
      <c r="O45" s="86">
        <f t="shared" ca="1" si="6"/>
        <v>93.596316322159979</v>
      </c>
      <c r="P45" s="86">
        <f t="shared" ca="1" si="6"/>
        <v>68.273961270346916</v>
      </c>
      <c r="Q45" s="86">
        <f t="shared" ca="1" si="4"/>
        <v>-7.6080241914990056E-3</v>
      </c>
      <c r="R45" s="86">
        <f t="shared" ca="1" si="4"/>
        <v>1.1899534408276367E-2</v>
      </c>
    </row>
    <row r="46" spans="1:18">
      <c r="A46" s="86">
        <f t="shared" ca="1" si="0"/>
        <v>0.26862461989476388</v>
      </c>
      <c r="B46" s="86">
        <f t="shared" ca="1" si="0"/>
        <v>1.9986977056174362</v>
      </c>
      <c r="G46" s="86">
        <f t="shared" ca="1" si="1"/>
        <v>0.26862461989476388</v>
      </c>
      <c r="H46" s="86">
        <f t="shared" ca="1" si="2"/>
        <v>1.9583343774203414</v>
      </c>
      <c r="O46" s="86">
        <f t="shared" ca="1" si="6"/>
        <v>94.076456715982985</v>
      </c>
      <c r="P46" s="86">
        <f t="shared" ca="1" si="6"/>
        <v>70.859938792193745</v>
      </c>
      <c r="Q46" s="86">
        <f t="shared" ca="1" si="4"/>
        <v>-5.1167938067865079E-3</v>
      </c>
      <c r="R46" s="86">
        <f t="shared" ca="1" si="4"/>
        <v>-3.7176782317136503E-2</v>
      </c>
    </row>
    <row r="47" spans="1:18">
      <c r="A47" s="86">
        <f t="shared" ca="1" si="0"/>
        <v>1.0894518971924283</v>
      </c>
      <c r="B47" s="86">
        <f t="shared" ca="1" si="0"/>
        <v>6.3545945349378671E-2</v>
      </c>
      <c r="G47" s="86">
        <f t="shared" ca="1" si="1"/>
        <v>1.0894518971924283</v>
      </c>
      <c r="H47" s="86">
        <f t="shared" ca="1" si="2"/>
        <v>0.45787619480460734</v>
      </c>
      <c r="O47" s="86">
        <f t="shared" ca="1" si="6"/>
        <v>96.043260229969874</v>
      </c>
      <c r="P47" s="86">
        <f t="shared" ca="1" si="6"/>
        <v>71.479652274407911</v>
      </c>
      <c r="Q47" s="86">
        <f t="shared" ca="1" si="4"/>
        <v>-2.0690896377918107E-2</v>
      </c>
      <c r="R47" s="86">
        <f t="shared" ca="1" si="4"/>
        <v>-8.7075899717211011E-3</v>
      </c>
    </row>
    <row r="48" spans="1:18">
      <c r="A48" s="86">
        <f t="shared" ca="1" si="0"/>
        <v>-0.71897090020494059</v>
      </c>
      <c r="B48" s="86">
        <f t="shared" ca="1" si="0"/>
        <v>1.4509975736021139</v>
      </c>
      <c r="G48" s="86">
        <f t="shared" ca="1" si="1"/>
        <v>-0.71897090020494059</v>
      </c>
      <c r="H48" s="86">
        <f t="shared" ca="1" si="2"/>
        <v>1.0871765405810869</v>
      </c>
      <c r="O48" s="86">
        <f t="shared" ca="1" si="6"/>
        <v>94.743875529768388</v>
      </c>
      <c r="P48" s="86">
        <f t="shared" ca="1" si="6"/>
        <v>72.970886763663671</v>
      </c>
      <c r="Q48" s="86">
        <f t="shared" ca="1" si="4"/>
        <v>1.3621513696175385E-2</v>
      </c>
      <c r="R48" s="86">
        <f t="shared" ca="1" si="4"/>
        <v>-2.0647724521632296E-2</v>
      </c>
    </row>
    <row r="49" spans="1:18">
      <c r="A49" s="86">
        <f t="shared" ca="1" si="0"/>
        <v>-4.564510378557405E-2</v>
      </c>
      <c r="B49" s="86">
        <f t="shared" ca="1" si="0"/>
        <v>-0.54173077859468344</v>
      </c>
      <c r="G49" s="86">
        <f t="shared" ca="1" si="1"/>
        <v>-4.564510378557405E-2</v>
      </c>
      <c r="H49" s="86">
        <f t="shared" ca="1" si="2"/>
        <v>-0.52084881552706075</v>
      </c>
      <c r="O49" s="86">
        <f t="shared" ca="1" si="6"/>
        <v>94.663750904403884</v>
      </c>
      <c r="P49" s="86">
        <f t="shared" ca="1" si="6"/>
        <v>72.254755052569053</v>
      </c>
      <c r="Q49" s="86">
        <f t="shared" ca="1" si="4"/>
        <v>8.4605495198317919E-4</v>
      </c>
      <c r="R49" s="86">
        <f t="shared" ca="1" si="4"/>
        <v>9.8624114419983266E-3</v>
      </c>
    </row>
    <row r="50" spans="1:18">
      <c r="A50" s="86">
        <f t="shared" ca="1" si="0"/>
        <v>0.79388196537856337</v>
      </c>
      <c r="B50" s="86">
        <f t="shared" ca="1" si="0"/>
        <v>1.3180924785053969</v>
      </c>
      <c r="G50" s="86">
        <f t="shared" ca="1" si="1"/>
        <v>0.79388196537856337</v>
      </c>
      <c r="H50" s="86">
        <f t="shared" ca="1" si="2"/>
        <v>1.5171972341784685</v>
      </c>
      <c r="O50" s="86">
        <f t="shared" ca="1" si="6"/>
        <v>96.102372157879202</v>
      </c>
      <c r="P50" s="86">
        <f t="shared" ca="1" si="6"/>
        <v>74.366452450161688</v>
      </c>
      <c r="Q50" s="86">
        <f t="shared" ca="1" si="4"/>
        <v>-1.5082851223563065E-2</v>
      </c>
      <c r="R50" s="86">
        <f t="shared" ca="1" si="4"/>
        <v>-2.8806793518270882E-2</v>
      </c>
    </row>
    <row r="51" spans="1:18">
      <c r="A51" s="86">
        <f t="shared" ca="1" si="0"/>
        <v>1.6938053266524784</v>
      </c>
      <c r="B51" s="86">
        <f t="shared" ca="1" si="0"/>
        <v>0.26773588655846181</v>
      </c>
      <c r="G51" s="86">
        <f t="shared" ca="1" si="1"/>
        <v>1.6938053266524784</v>
      </c>
      <c r="H51" s="86">
        <f t="shared" ca="1" si="2"/>
        <v>0.86909174160204683</v>
      </c>
      <c r="O51" s="86">
        <f t="shared" ca="1" si="6"/>
        <v>99.243030596110586</v>
      </c>
      <c r="P51" s="86">
        <f t="shared" ca="1" si="6"/>
        <v>75.604423139948892</v>
      </c>
      <c r="Q51" s="86">
        <f t="shared" ca="1" si="4"/>
        <v>-3.2157696470884005E-2</v>
      </c>
      <c r="R51" s="86">
        <f t="shared" ca="1" si="4"/>
        <v>-1.6509856394629738E-2</v>
      </c>
    </row>
    <row r="52" spans="1:18">
      <c r="A52" s="86">
        <f t="shared" ca="1" si="0"/>
        <v>0.66725724884898463</v>
      </c>
      <c r="B52" s="86">
        <f t="shared" ca="1" si="0"/>
        <v>1.3333992992069859</v>
      </c>
      <c r="G52" s="86">
        <f t="shared" ca="1" si="1"/>
        <v>0.66725724884898463</v>
      </c>
      <c r="H52" s="86">
        <f t="shared" ca="1" si="2"/>
        <v>1.4850973425877196</v>
      </c>
      <c r="O52" s="86">
        <f t="shared" ref="O52:P67" ca="1" si="7">O51*EXP((0.05-0.3^2/2)*1/250+0.3*SQRT(1/250)*G52)</f>
        <v>100.5094760950696</v>
      </c>
      <c r="P52" s="86">
        <f t="shared" ca="1" si="7"/>
        <v>77.766638604940312</v>
      </c>
      <c r="Q52" s="86">
        <f t="shared" ca="1" si="4"/>
        <v>-1.268031614972317E-2</v>
      </c>
      <c r="R52" s="86">
        <f t="shared" ca="1" si="4"/>
        <v>-2.8197740897843243E-2</v>
      </c>
    </row>
    <row r="53" spans="1:18">
      <c r="A53" s="86">
        <f t="shared" ca="1" si="0"/>
        <v>-0.55893872821651813</v>
      </c>
      <c r="B53" s="86">
        <f t="shared" ca="1" si="0"/>
        <v>-0.96674864386781767</v>
      </c>
      <c r="G53" s="86">
        <f t="shared" ca="1" si="1"/>
        <v>-0.55893872821651813</v>
      </c>
      <c r="H53" s="86">
        <f t="shared" ca="1" si="2"/>
        <v>-1.1042422192263641</v>
      </c>
      <c r="O53" s="86">
        <f t="shared" ca="1" si="7"/>
        <v>99.451182520786006</v>
      </c>
      <c r="P53" s="86">
        <f t="shared" ca="1" si="7"/>
        <v>76.155782073136862</v>
      </c>
      <c r="Q53" s="86">
        <f t="shared" ca="1" si="4"/>
        <v>1.0585116721852217E-2</v>
      </c>
      <c r="R53" s="86">
        <f t="shared" ca="1" si="4"/>
        <v>2.0931523007645812E-2</v>
      </c>
    </row>
    <row r="54" spans="1:18">
      <c r="A54" s="86">
        <f t="shared" ca="1" si="0"/>
        <v>-0.74487163094829301</v>
      </c>
      <c r="B54" s="86">
        <f t="shared" ca="1" si="0"/>
        <v>0.23553550050730773</v>
      </c>
      <c r="G54" s="86">
        <f t="shared" ca="1" si="1"/>
        <v>-0.74487163094829301</v>
      </c>
      <c r="H54" s="86">
        <f t="shared" ca="1" si="2"/>
        <v>-5.3430182331371867E-2</v>
      </c>
      <c r="O54" s="86">
        <f t="shared" ca="1" si="7"/>
        <v>98.057491079031863</v>
      </c>
      <c r="P54" s="86">
        <f t="shared" ca="1" si="7"/>
        <v>76.080138605520489</v>
      </c>
      <c r="Q54" s="86">
        <f t="shared" ca="1" si="4"/>
        <v>1.4112945509445972E-2</v>
      </c>
      <c r="R54" s="86">
        <f t="shared" ca="1" si="4"/>
        <v>9.937664317914304E-4</v>
      </c>
    </row>
    <row r="55" spans="1:18">
      <c r="A55" s="86">
        <f t="shared" ca="1" si="0"/>
        <v>-1.2800406519279512</v>
      </c>
      <c r="B55" s="86">
        <f t="shared" ca="1" si="0"/>
        <v>1.4773607273943103</v>
      </c>
      <c r="G55" s="86">
        <f t="shared" ca="1" si="1"/>
        <v>-1.2800406519279512</v>
      </c>
      <c r="H55" s="86">
        <f t="shared" ca="1" si="2"/>
        <v>0.90635895387590693</v>
      </c>
      <c r="O55" s="86">
        <f t="shared" ca="1" si="7"/>
        <v>95.706564108280674</v>
      </c>
      <c r="P55" s="86">
        <f t="shared" ca="1" si="7"/>
        <v>77.401347662647339</v>
      </c>
      <c r="Q55" s="86">
        <f t="shared" ca="1" si="4"/>
        <v>2.4267063746194799E-2</v>
      </c>
      <c r="R55" s="86">
        <f t="shared" ca="1" si="4"/>
        <v>-1.7216952031612043E-2</v>
      </c>
    </row>
    <row r="56" spans="1:18">
      <c r="A56" s="86">
        <f t="shared" ca="1" si="0"/>
        <v>-1.1060587494648297</v>
      </c>
      <c r="B56" s="86">
        <f t="shared" ca="1" si="0"/>
        <v>-0.14455054054409072</v>
      </c>
      <c r="G56" s="86">
        <f t="shared" ca="1" si="1"/>
        <v>-1.1060587494648297</v>
      </c>
      <c r="H56" s="86">
        <f t="shared" ca="1" si="2"/>
        <v>-0.53933838198450246</v>
      </c>
      <c r="O56" s="86">
        <f t="shared" ca="1" si="7"/>
        <v>93.720870071901189</v>
      </c>
      <c r="P56" s="86">
        <f t="shared" ca="1" si="7"/>
        <v>76.614853341895056</v>
      </c>
      <c r="Q56" s="86">
        <f t="shared" ca="1" si="4"/>
        <v>2.0965989245598511E-2</v>
      </c>
      <c r="R56" s="86">
        <f t="shared" ca="1" si="4"/>
        <v>1.0213226299725806E-2</v>
      </c>
    </row>
    <row r="57" spans="1:18">
      <c r="A57" s="86">
        <f t="shared" ca="1" si="0"/>
        <v>-1.0933814844432885</v>
      </c>
      <c r="B57" s="86">
        <f t="shared" ca="1" si="0"/>
        <v>0.69257942090787217</v>
      </c>
      <c r="G57" s="86">
        <f t="shared" ca="1" si="1"/>
        <v>-1.0933814844432885</v>
      </c>
      <c r="H57" s="86">
        <f t="shared" ca="1" si="2"/>
        <v>0.24434707095205249</v>
      </c>
      <c r="O57" s="86">
        <f t="shared" ca="1" si="7"/>
        <v>91.798452692279099</v>
      </c>
      <c r="P57" s="86">
        <f t="shared" ca="1" si="7"/>
        <v>76.972416123377101</v>
      </c>
      <c r="Q57" s="86">
        <f t="shared" ca="1" si="4"/>
        <v>2.072545505378046E-2</v>
      </c>
      <c r="R57" s="86">
        <f t="shared" ca="1" si="4"/>
        <v>-4.6561597027955709E-3</v>
      </c>
    </row>
    <row r="58" spans="1:18">
      <c r="A58" s="86">
        <f t="shared" ca="1" si="0"/>
        <v>-1.0292660826382281</v>
      </c>
      <c r="B58" s="86">
        <f t="shared" ca="1" si="0"/>
        <v>0.87730557281045607</v>
      </c>
      <c r="G58" s="86">
        <f t="shared" ca="1" si="1"/>
        <v>-1.0292660826382281</v>
      </c>
      <c r="H58" s="86">
        <f t="shared" ca="1" si="2"/>
        <v>0.43972220825183256</v>
      </c>
      <c r="O58" s="86">
        <f t="shared" ca="1" si="7"/>
        <v>90.024917348855027</v>
      </c>
      <c r="P58" s="86">
        <f t="shared" ca="1" si="7"/>
        <v>77.618846720014872</v>
      </c>
      <c r="Q58" s="86">
        <f t="shared" ca="1" si="4"/>
        <v>1.950895083697525E-2</v>
      </c>
      <c r="R58" s="86">
        <f t="shared" ca="1" si="4"/>
        <v>-8.3631422950080549E-3</v>
      </c>
    </row>
    <row r="59" spans="1:18">
      <c r="A59" s="86">
        <f t="shared" ca="1" si="0"/>
        <v>0.73468269724989999</v>
      </c>
      <c r="B59" s="86">
        <f t="shared" ca="1" si="0"/>
        <v>0.89169912679351437</v>
      </c>
      <c r="G59" s="86">
        <f t="shared" ca="1" si="1"/>
        <v>0.73468269724989999</v>
      </c>
      <c r="H59" s="86">
        <f t="shared" ca="1" si="2"/>
        <v>1.0987223167792182</v>
      </c>
      <c r="O59" s="86">
        <f t="shared" ca="1" si="7"/>
        <v>91.290443939917466</v>
      </c>
      <c r="P59" s="86">
        <f t="shared" ca="1" si="7"/>
        <v>79.255519579802026</v>
      </c>
      <c r="Q59" s="86">
        <f t="shared" ca="1" si="4"/>
        <v>-1.3959624084953689E-2</v>
      </c>
      <c r="R59" s="86">
        <f t="shared" ca="1" si="4"/>
        <v>-2.0866790222476304E-2</v>
      </c>
    </row>
    <row r="60" spans="1:18">
      <c r="A60" s="86">
        <f t="shared" ca="1" si="0"/>
        <v>1.3569394720960313</v>
      </c>
      <c r="B60" s="86">
        <f t="shared" ca="1" si="0"/>
        <v>0.69998238105192412</v>
      </c>
      <c r="G60" s="86">
        <f t="shared" ca="1" si="1"/>
        <v>1.3569394720960313</v>
      </c>
      <c r="H60" s="86">
        <f t="shared" ca="1" si="2"/>
        <v>1.1480538456932727</v>
      </c>
      <c r="O60" s="86">
        <f t="shared" ca="1" si="7"/>
        <v>93.673209618220909</v>
      </c>
      <c r="P60" s="86">
        <f t="shared" ca="1" si="7"/>
        <v>81.002486213903978</v>
      </c>
      <c r="Q60" s="86">
        <f t="shared" ca="1" si="4"/>
        <v>-2.5766116272859671E-2</v>
      </c>
      <c r="R60" s="86">
        <f t="shared" ca="1" si="4"/>
        <v>-2.1802790173437409E-2</v>
      </c>
    </row>
    <row r="61" spans="1:18">
      <c r="A61" s="86">
        <f t="shared" ca="1" si="0"/>
        <v>0.81817892379663237</v>
      </c>
      <c r="B61" s="86">
        <f t="shared" ca="1" si="0"/>
        <v>0.98076100682413403</v>
      </c>
      <c r="G61" s="86">
        <f t="shared" ca="1" si="1"/>
        <v>0.81817892379663237</v>
      </c>
      <c r="H61" s="86">
        <f t="shared" ca="1" si="2"/>
        <v>1.2121642438666473</v>
      </c>
      <c r="O61" s="86">
        <f t="shared" ca="1" si="7"/>
        <v>95.140627392677786</v>
      </c>
      <c r="P61" s="86">
        <f t="shared" ca="1" si="7"/>
        <v>82.888725165729213</v>
      </c>
      <c r="Q61" s="86">
        <f t="shared" ca="1" si="4"/>
        <v>-1.5543853596456053E-2</v>
      </c>
      <c r="R61" s="86">
        <f t="shared" ca="1" si="4"/>
        <v>-2.3019199453006442E-2</v>
      </c>
    </row>
    <row r="62" spans="1:18">
      <c r="A62" s="86">
        <f t="shared" ca="1" si="0"/>
        <v>-0.98724411302572312</v>
      </c>
      <c r="B62" s="86">
        <f t="shared" ca="1" si="0"/>
        <v>1.0211648568478457</v>
      </c>
      <c r="G62" s="86">
        <f t="shared" ca="1" si="1"/>
        <v>-0.98724411302572312</v>
      </c>
      <c r="H62" s="86">
        <f t="shared" ca="1" si="2"/>
        <v>0.58897983523973263</v>
      </c>
      <c r="O62" s="86">
        <f t="shared" ca="1" si="7"/>
        <v>93.376942399693007</v>
      </c>
      <c r="P62" s="86">
        <f t="shared" ca="1" si="7"/>
        <v>83.82188696097694</v>
      </c>
      <c r="Q62" s="86">
        <f t="shared" ca="1" si="4"/>
        <v>1.8711640022523904E-2</v>
      </c>
      <c r="R62" s="86">
        <f t="shared" ca="1" si="4"/>
        <v>-1.1195106651609646E-2</v>
      </c>
    </row>
    <row r="63" spans="1:18">
      <c r="A63" s="86">
        <f t="shared" ca="1" si="0"/>
        <v>-0.75116991243017783</v>
      </c>
      <c r="B63" s="86">
        <f t="shared" ca="1" si="0"/>
        <v>-1.4166412974782543</v>
      </c>
      <c r="G63" s="86">
        <f t="shared" ca="1" si="1"/>
        <v>-0.75116991243017783</v>
      </c>
      <c r="H63" s="86">
        <f t="shared" ca="1" si="2"/>
        <v>-1.593275617236265</v>
      </c>
      <c r="O63" s="86">
        <f t="shared" ca="1" si="7"/>
        <v>92.057372643962637</v>
      </c>
      <c r="P63" s="86">
        <f t="shared" ca="1" si="7"/>
        <v>81.327472529041827</v>
      </c>
      <c r="Q63" s="86">
        <f t="shared" ca="1" si="4"/>
        <v>1.4232446998411584E-2</v>
      </c>
      <c r="R63" s="86">
        <f t="shared" ca="1" si="4"/>
        <v>3.0210279345263383E-2</v>
      </c>
    </row>
    <row r="64" spans="1:18">
      <c r="A64" s="86">
        <f t="shared" ca="1" si="0"/>
        <v>-0.4832312550149564</v>
      </c>
      <c r="B64" s="86">
        <f t="shared" ca="1" si="0"/>
        <v>-2.2705422336518004</v>
      </c>
      <c r="G64" s="86">
        <f t="shared" ca="1" si="1"/>
        <v>-0.4832312550149564</v>
      </c>
      <c r="H64" s="86">
        <f t="shared" ca="1" si="2"/>
        <v>-2.2898629606944905</v>
      </c>
      <c r="O64" s="86">
        <f t="shared" ca="1" si="7"/>
        <v>91.21901106003115</v>
      </c>
      <c r="P64" s="86">
        <f t="shared" ca="1" si="7"/>
        <v>77.871246744341235</v>
      </c>
      <c r="Q64" s="86">
        <f t="shared" ca="1" si="4"/>
        <v>9.1486684145736311E-3</v>
      </c>
      <c r="R64" s="86">
        <f t="shared" ca="1" si="4"/>
        <v>4.3427094912707277E-2</v>
      </c>
    </row>
    <row r="65" spans="1:18">
      <c r="A65" s="86">
        <f t="shared" ca="1" si="0"/>
        <v>0.73506465345242211</v>
      </c>
      <c r="B65" s="86">
        <f t="shared" ca="1" si="0"/>
        <v>-0.95131674170357106</v>
      </c>
      <c r="G65" s="86">
        <f t="shared" ca="1" si="1"/>
        <v>0.73506465345242211</v>
      </c>
      <c r="H65" s="86">
        <f t="shared" ca="1" si="2"/>
        <v>-0.61627582420978166</v>
      </c>
      <c r="O65" s="86">
        <f t="shared" ca="1" si="7"/>
        <v>92.501994010527412</v>
      </c>
      <c r="P65" s="86">
        <f t="shared" ca="1" si="7"/>
        <v>76.967539529501977</v>
      </c>
      <c r="Q65" s="86">
        <f t="shared" ca="1" si="4"/>
        <v>-1.3966871194352132E-2</v>
      </c>
      <c r="R65" s="86">
        <f t="shared" ca="1" si="4"/>
        <v>1.1673011628402759E-2</v>
      </c>
    </row>
    <row r="66" spans="1:18">
      <c r="A66" s="86">
        <f t="shared" ca="1" si="0"/>
        <v>1.7424218820450939</v>
      </c>
      <c r="B66" s="86">
        <f t="shared" ca="1" si="0"/>
        <v>-1.5332015784730255</v>
      </c>
      <c r="G66" s="86">
        <f t="shared" ca="1" si="1"/>
        <v>1.7424218820450939</v>
      </c>
      <c r="H66" s="86">
        <f t="shared" ca="1" si="2"/>
        <v>-0.7890937489323101</v>
      </c>
      <c r="O66" s="86">
        <f t="shared" ca="1" si="7"/>
        <v>95.613147036998058</v>
      </c>
      <c r="P66" s="86">
        <f t="shared" ca="1" si="7"/>
        <v>75.825281587248341</v>
      </c>
      <c r="Q66" s="86">
        <f t="shared" ca="1" si="4"/>
        <v>-3.3080130753078432E-2</v>
      </c>
      <c r="R66" s="86">
        <f t="shared" ca="1" si="4"/>
        <v>1.4952001204162894E-2</v>
      </c>
    </row>
    <row r="67" spans="1:18">
      <c r="A67" s="86">
        <f t="shared" ref="A67:B91" ca="1" si="8">_xlfn.NORM.S.INV(RAND())</f>
        <v>0.96247218123603173</v>
      </c>
      <c r="B67" s="86">
        <f t="shared" ca="1" si="8"/>
        <v>1.8341549448649137</v>
      </c>
      <c r="G67" s="86">
        <f t="shared" ref="G67:G130" ca="1" si="9">A67</f>
        <v>0.96247218123603173</v>
      </c>
      <c r="H67" s="86">
        <f t="shared" ref="H67:H130" ca="1" si="10">$K$1*G67+SQRT(1-$K$1^2)*B67</f>
        <v>2.059156648170128</v>
      </c>
      <c r="O67" s="86">
        <f t="shared" ca="1" si="7"/>
        <v>97.377186422648023</v>
      </c>
      <c r="P67" s="86">
        <f t="shared" ca="1" si="7"/>
        <v>78.847966028114357</v>
      </c>
      <c r="Q67" s="86">
        <f t="shared" ca="1" si="4"/>
        <v>-1.8281625663537516E-2</v>
      </c>
      <c r="R67" s="86">
        <f t="shared" ca="1" si="4"/>
        <v>-3.9089750403773528E-2</v>
      </c>
    </row>
    <row r="68" spans="1:18">
      <c r="A68" s="86">
        <f t="shared" ca="1" si="8"/>
        <v>-1.8562446066516576</v>
      </c>
      <c r="B68" s="86">
        <f t="shared" ca="1" si="8"/>
        <v>-4.3702089716056311E-2</v>
      </c>
      <c r="G68" s="86">
        <f t="shared" ca="1" si="9"/>
        <v>-1.8562446066516576</v>
      </c>
      <c r="H68" s="86">
        <f t="shared" ca="1" si="10"/>
        <v>-0.72005533972282965</v>
      </c>
      <c r="O68" s="86">
        <f t="shared" ref="O68:P83" ca="1" si="11">O67*EXP((0.05-0.3^2/2)*1/250+0.3*SQRT(1/250)*G68)</f>
        <v>94.009157004285157</v>
      </c>
      <c r="P68" s="86">
        <f t="shared" ca="1" si="11"/>
        <v>77.779618832352426</v>
      </c>
      <c r="Q68" s="86">
        <f t="shared" ref="Q68:R131" ca="1" si="12">LN(O67/O68)</f>
        <v>3.5199765108535487E-2</v>
      </c>
      <c r="R68" s="86">
        <f t="shared" ca="1" si="12"/>
        <v>1.3642089489342819E-2</v>
      </c>
    </row>
    <row r="69" spans="1:18">
      <c r="A69" s="86">
        <f t="shared" ca="1" si="8"/>
        <v>-0.64889205457344989</v>
      </c>
      <c r="B69" s="86">
        <f t="shared" ca="1" si="8"/>
        <v>-1.0604889785103888</v>
      </c>
      <c r="G69" s="86">
        <f t="shared" ca="1" si="9"/>
        <v>-0.64889205457344989</v>
      </c>
      <c r="H69" s="86">
        <f t="shared" ca="1" si="10"/>
        <v>-1.2244012841836711</v>
      </c>
      <c r="O69" s="86">
        <f t="shared" ca="1" si="11"/>
        <v>92.860682410652345</v>
      </c>
      <c r="P69" s="86">
        <f t="shared" ca="1" si="11"/>
        <v>75.995037884425471</v>
      </c>
      <c r="Q69" s="86">
        <f t="shared" ca="1" si="12"/>
        <v>1.2291861088230171E-2</v>
      </c>
      <c r="R69" s="86">
        <f t="shared" ca="1" si="12"/>
        <v>2.3211380968333074E-2</v>
      </c>
    </row>
    <row r="70" spans="1:18">
      <c r="A70" s="86">
        <f t="shared" ca="1" si="8"/>
        <v>0.33921769545645741</v>
      </c>
      <c r="B70" s="86">
        <f t="shared" ca="1" si="8"/>
        <v>0.83842363091485406</v>
      </c>
      <c r="G70" s="86">
        <f t="shared" ca="1" si="9"/>
        <v>0.33921769545645741</v>
      </c>
      <c r="H70" s="86">
        <f t="shared" ca="1" si="10"/>
        <v>0.90440315848955921</v>
      </c>
      <c r="O70" s="86">
        <f t="shared" ca="1" si="11"/>
        <v>93.462149356655445</v>
      </c>
      <c r="P70" s="86">
        <f t="shared" ca="1" si="11"/>
        <v>77.311900090644301</v>
      </c>
      <c r="Q70" s="86">
        <f t="shared" ca="1" si="12"/>
        <v>-6.4562032416545468E-3</v>
      </c>
      <c r="R70" s="86">
        <f t="shared" ca="1" si="12"/>
        <v>-1.7179843423263522E-2</v>
      </c>
    </row>
    <row r="71" spans="1:18">
      <c r="A71" s="86">
        <f t="shared" ca="1" si="8"/>
        <v>-0.46904512522079556</v>
      </c>
      <c r="B71" s="86">
        <f t="shared" ca="1" si="8"/>
        <v>0.23550675933617443</v>
      </c>
      <c r="G71" s="86">
        <f t="shared" ca="1" si="9"/>
        <v>-0.46904512522079556</v>
      </c>
      <c r="H71" s="86">
        <f t="shared" ca="1" si="10"/>
        <v>4.7495571804214348E-2</v>
      </c>
      <c r="O71" s="86">
        <f t="shared" ca="1" si="11"/>
        <v>92.635925343932072</v>
      </c>
      <c r="P71" s="86">
        <f t="shared" ca="1" si="11"/>
        <v>77.383149927301702</v>
      </c>
      <c r="Q71" s="86">
        <f t="shared" ca="1" si="12"/>
        <v>8.879505526579649E-3</v>
      </c>
      <c r="R71" s="86">
        <f t="shared" ca="1" si="12"/>
        <v>-9.2116511404031836E-4</v>
      </c>
    </row>
    <row r="72" spans="1:18">
      <c r="A72" s="86">
        <f t="shared" ca="1" si="8"/>
        <v>-0.11878757362446332</v>
      </c>
      <c r="B72" s="86">
        <f t="shared" ca="1" si="8"/>
        <v>0.10886881402592938</v>
      </c>
      <c r="G72" s="86">
        <f t="shared" ca="1" si="9"/>
        <v>-0.11878757362446332</v>
      </c>
      <c r="H72" s="86">
        <f t="shared" ca="1" si="10"/>
        <v>5.7838683143987261E-2</v>
      </c>
      <c r="O72" s="86">
        <f t="shared" ca="1" si="11"/>
        <v>92.4292228585347</v>
      </c>
      <c r="P72" s="86">
        <f t="shared" ca="1" si="11"/>
        <v>77.469667104957026</v>
      </c>
      <c r="Q72" s="86">
        <f t="shared" ca="1" si="12"/>
        <v>2.2338357422694846E-3</v>
      </c>
      <c r="R72" s="86">
        <f t="shared" ca="1" si="12"/>
        <v>-1.1174118535987368E-3</v>
      </c>
    </row>
    <row r="73" spans="1:18">
      <c r="A73" s="86">
        <f t="shared" ca="1" si="8"/>
        <v>0.10796305626196588</v>
      </c>
      <c r="B73" s="86">
        <f t="shared" ca="1" si="8"/>
        <v>-1.2582827773557259</v>
      </c>
      <c r="G73" s="86">
        <f t="shared" ca="1" si="9"/>
        <v>0.10796305626196588</v>
      </c>
      <c r="H73" s="86">
        <f t="shared" ca="1" si="10"/>
        <v>-1.1314621601632566</v>
      </c>
      <c r="O73" s="86">
        <f t="shared" ca="1" si="11"/>
        <v>92.620606409418855</v>
      </c>
      <c r="P73" s="86">
        <f t="shared" ca="1" si="11"/>
        <v>75.825790775631006</v>
      </c>
      <c r="Q73" s="86">
        <f t="shared" ca="1" si="12"/>
        <v>-2.0684549656441531E-3</v>
      </c>
      <c r="R73" s="86">
        <f t="shared" ca="1" si="12"/>
        <v>2.1447985074460753E-2</v>
      </c>
    </row>
    <row r="74" spans="1:18">
      <c r="A74" s="86">
        <f t="shared" ca="1" si="8"/>
        <v>-0.65863859865091157</v>
      </c>
      <c r="B74" s="86">
        <f t="shared" ca="1" si="8"/>
        <v>1.3072164139914897</v>
      </c>
      <c r="G74" s="86">
        <f t="shared" ca="1" si="9"/>
        <v>-0.65863859865091157</v>
      </c>
      <c r="H74" s="86">
        <f t="shared" ca="1" si="10"/>
        <v>0.97545328059187408</v>
      </c>
      <c r="O74" s="86">
        <f t="shared" ca="1" si="11"/>
        <v>91.472177916273168</v>
      </c>
      <c r="P74" s="86">
        <f t="shared" ca="1" si="11"/>
        <v>77.243780961420384</v>
      </c>
      <c r="Q74" s="86">
        <f t="shared" ca="1" si="12"/>
        <v>1.2476788759830375E-2</v>
      </c>
      <c r="R74" s="86">
        <f t="shared" ca="1" si="12"/>
        <v>-1.8527924706521967E-2</v>
      </c>
    </row>
    <row r="75" spans="1:18">
      <c r="A75" s="86">
        <f t="shared" ca="1" si="8"/>
        <v>0.2075459776460887</v>
      </c>
      <c r="B75" s="86">
        <f t="shared" ca="1" si="8"/>
        <v>-0.77817401782270124</v>
      </c>
      <c r="G75" s="86">
        <f t="shared" ca="1" si="9"/>
        <v>0.2075459776460887</v>
      </c>
      <c r="H75" s="86">
        <f t="shared" ca="1" si="10"/>
        <v>-0.64821846945265638</v>
      </c>
      <c r="O75" s="86">
        <f t="shared" ca="1" si="11"/>
        <v>91.834933789374716</v>
      </c>
      <c r="P75" s="86">
        <f t="shared" ca="1" si="11"/>
        <v>76.301097826320273</v>
      </c>
      <c r="Q75" s="86">
        <f t="shared" ca="1" si="12"/>
        <v>-3.9579080514081872E-3</v>
      </c>
      <c r="R75" s="86">
        <f t="shared" ca="1" si="12"/>
        <v>1.2279080709152028E-2</v>
      </c>
    </row>
    <row r="76" spans="1:18">
      <c r="A76" s="86">
        <f t="shared" ca="1" si="8"/>
        <v>1.1069824254063221</v>
      </c>
      <c r="B76" s="86">
        <f t="shared" ca="1" si="8"/>
        <v>1.1897235728379465</v>
      </c>
      <c r="G76" s="86">
        <f t="shared" ca="1" si="9"/>
        <v>1.1069824254063221</v>
      </c>
      <c r="H76" s="86">
        <f t="shared" ca="1" si="10"/>
        <v>1.5123299925900748</v>
      </c>
      <c r="O76" s="86">
        <f t="shared" ca="1" si="11"/>
        <v>93.786064827668298</v>
      </c>
      <c r="P76" s="86">
        <f t="shared" ca="1" si="11"/>
        <v>78.523800551698159</v>
      </c>
      <c r="Q76" s="86">
        <f t="shared" ca="1" si="12"/>
        <v>-2.1023514764368447E-2</v>
      </c>
      <c r="R76" s="86">
        <f t="shared" ca="1" si="12"/>
        <v>-2.8714444102221206E-2</v>
      </c>
    </row>
    <row r="77" spans="1:18">
      <c r="A77" s="86">
        <f t="shared" ca="1" si="8"/>
        <v>0.54896779049561961</v>
      </c>
      <c r="B77" s="86">
        <f t="shared" ca="1" si="8"/>
        <v>0.56095423304646719</v>
      </c>
      <c r="G77" s="86">
        <f t="shared" ca="1" si="9"/>
        <v>0.54896779049561961</v>
      </c>
      <c r="H77" s="86">
        <f t="shared" ca="1" si="10"/>
        <v>0.72295455105397588</v>
      </c>
      <c r="O77" s="86">
        <f t="shared" ca="1" si="11"/>
        <v>94.769934643688941</v>
      </c>
      <c r="P77" s="86">
        <f t="shared" ca="1" si="11"/>
        <v>79.609932779940962</v>
      </c>
      <c r="Q77" s="86">
        <f t="shared" ca="1" si="12"/>
        <v>-1.043593148021766E-2</v>
      </c>
      <c r="R77" s="86">
        <f t="shared" ca="1" si="12"/>
        <v>-1.3737098156690336E-2</v>
      </c>
    </row>
    <row r="78" spans="1:18">
      <c r="A78" s="86">
        <f t="shared" ca="1" si="8"/>
        <v>-2.3316139895124626</v>
      </c>
      <c r="B78" s="86">
        <f t="shared" ca="1" si="8"/>
        <v>-1.1331549863061849</v>
      </c>
      <c r="G78" s="86">
        <f t="shared" ca="1" si="9"/>
        <v>-2.3316139895124626</v>
      </c>
      <c r="H78" s="86">
        <f t="shared" ca="1" si="10"/>
        <v>-1.9079015783537931</v>
      </c>
      <c r="O78" s="86">
        <f t="shared" ca="1" si="11"/>
        <v>90.67058094323562</v>
      </c>
      <c r="P78" s="86">
        <f t="shared" ca="1" si="11"/>
        <v>76.781135732499777</v>
      </c>
      <c r="Q78" s="86">
        <f t="shared" ca="1" si="12"/>
        <v>4.4219264987027822E-2</v>
      </c>
      <c r="R78" s="86">
        <f t="shared" ca="1" si="12"/>
        <v>3.6179887234169178E-2</v>
      </c>
    </row>
    <row r="79" spans="1:18">
      <c r="A79" s="86">
        <f t="shared" ca="1" si="8"/>
        <v>2.0775866271845294</v>
      </c>
      <c r="B79" s="86">
        <f t="shared" ca="1" si="8"/>
        <v>-0.9356540324042083</v>
      </c>
      <c r="G79" s="86">
        <f t="shared" ca="1" si="9"/>
        <v>2.0775866271845294</v>
      </c>
      <c r="H79" s="86">
        <f t="shared" ca="1" si="10"/>
        <v>-0.11033683195053623</v>
      </c>
      <c r="O79" s="86">
        <f t="shared" ca="1" si="11"/>
        <v>94.318031307876481</v>
      </c>
      <c r="P79" s="86">
        <f t="shared" ca="1" si="11"/>
        <v>76.622095435003061</v>
      </c>
      <c r="Q79" s="86">
        <f t="shared" ca="1" si="12"/>
        <v>-3.9439434669261211E-2</v>
      </c>
      <c r="R79" s="86">
        <f t="shared" ca="1" si="12"/>
        <v>2.0734941926256584E-3</v>
      </c>
    </row>
    <row r="80" spans="1:18">
      <c r="A80" s="86">
        <f t="shared" ca="1" si="8"/>
        <v>-0.39259662056621858</v>
      </c>
      <c r="B80" s="86">
        <f t="shared" ca="1" si="8"/>
        <v>-0.97306375345658402</v>
      </c>
      <c r="G80" s="86">
        <f t="shared" ca="1" si="9"/>
        <v>-0.39259662056621858</v>
      </c>
      <c r="H80" s="86">
        <f t="shared" ca="1" si="10"/>
        <v>-1.0492379425922933</v>
      </c>
      <c r="O80" s="86">
        <f t="shared" ca="1" si="11"/>
        <v>93.61993919620096</v>
      </c>
      <c r="P80" s="86">
        <f t="shared" ca="1" si="11"/>
        <v>75.113296753301725</v>
      </c>
      <c r="Q80" s="86">
        <f t="shared" ca="1" si="12"/>
        <v>7.4289971360448738E-3</v>
      </c>
      <c r="R80" s="86">
        <f t="shared" ca="1" si="12"/>
        <v>1.9887890236363674E-2</v>
      </c>
    </row>
    <row r="81" spans="1:18">
      <c r="A81" s="86">
        <f t="shared" ca="1" si="8"/>
        <v>-1.4823943156996287</v>
      </c>
      <c r="B81" s="86">
        <f t="shared" ca="1" si="8"/>
        <v>-0.47480075729491888</v>
      </c>
      <c r="G81" s="86">
        <f t="shared" ca="1" si="9"/>
        <v>-1.4823943156996287</v>
      </c>
      <c r="H81" s="86">
        <f t="shared" ca="1" si="10"/>
        <v>-0.9844129553207247</v>
      </c>
      <c r="O81" s="86">
        <f t="shared" ca="1" si="11"/>
        <v>91.025249205597817</v>
      </c>
      <c r="P81" s="86">
        <f t="shared" ca="1" si="11"/>
        <v>73.72483189146304</v>
      </c>
      <c r="Q81" s="86">
        <f t="shared" ca="1" si="12"/>
        <v>2.8106454568585182E-2</v>
      </c>
      <c r="R81" s="86">
        <f t="shared" ca="1" si="12"/>
        <v>1.8657922581946405E-2</v>
      </c>
    </row>
    <row r="82" spans="1:18">
      <c r="A82" s="86">
        <f t="shared" ca="1" si="8"/>
        <v>1.5620823177552539</v>
      </c>
      <c r="B82" s="86">
        <f t="shared" ca="1" si="8"/>
        <v>-1.7794444418823121</v>
      </c>
      <c r="G82" s="86">
        <f t="shared" ca="1" si="9"/>
        <v>1.5620823177552539</v>
      </c>
      <c r="H82" s="86">
        <f t="shared" ca="1" si="10"/>
        <v>-1.0842552949845352</v>
      </c>
      <c r="O82" s="86">
        <f t="shared" ca="1" si="11"/>
        <v>93.765347669775622</v>
      </c>
      <c r="P82" s="86">
        <f t="shared" ca="1" si="11"/>
        <v>72.225081639734213</v>
      </c>
      <c r="Q82" s="86">
        <f t="shared" ca="1" si="12"/>
        <v>-2.9658428100688843E-2</v>
      </c>
      <c r="R82" s="86">
        <f t="shared" ca="1" si="12"/>
        <v>2.0552297783493406E-2</v>
      </c>
    </row>
    <row r="83" spans="1:18">
      <c r="A83" s="86">
        <f t="shared" ca="1" si="8"/>
        <v>0.32571564935538844</v>
      </c>
      <c r="B83" s="86">
        <f t="shared" ca="1" si="8"/>
        <v>1.7898648176628233</v>
      </c>
      <c r="G83" s="86">
        <f t="shared" ca="1" si="9"/>
        <v>0.32571564935538844</v>
      </c>
      <c r="H83" s="86">
        <f t="shared" ca="1" si="10"/>
        <v>1.7848867073963262</v>
      </c>
      <c r="O83" s="86">
        <f t="shared" ca="1" si="11"/>
        <v>94.348500605859897</v>
      </c>
      <c r="P83" s="86">
        <f t="shared" ca="1" si="11"/>
        <v>74.714428109336239</v>
      </c>
      <c r="Q83" s="86">
        <f t="shared" ca="1" si="12"/>
        <v>-6.2000199291426007E-3</v>
      </c>
      <c r="R83" s="86">
        <f t="shared" ca="1" si="12"/>
        <v>-3.388584416438542E-2</v>
      </c>
    </row>
    <row r="84" spans="1:18">
      <c r="A84" s="86">
        <f t="shared" ca="1" si="8"/>
        <v>0.61427630798151733</v>
      </c>
      <c r="B84" s="86">
        <f t="shared" ca="1" si="8"/>
        <v>1.2890483718378192</v>
      </c>
      <c r="G84" s="86">
        <f t="shared" ca="1" si="9"/>
        <v>0.61427630798151733</v>
      </c>
      <c r="H84" s="86">
        <f t="shared" ca="1" si="10"/>
        <v>1.4244326865863455</v>
      </c>
      <c r="O84" s="86">
        <f t="shared" ref="O84:P99" ca="1" si="13">O83*EXP((0.05-0.3^2/2)*1/250+0.3*SQRT(1/250)*G84)</f>
        <v>95.456481576884173</v>
      </c>
      <c r="P84" s="86">
        <f t="shared" ca="1" si="13"/>
        <v>76.762783345695397</v>
      </c>
      <c r="Q84" s="86">
        <f t="shared" ca="1" si="12"/>
        <v>-1.1675073475404139E-2</v>
      </c>
      <c r="R84" s="86">
        <f t="shared" ca="1" si="12"/>
        <v>-2.7046709979233783E-2</v>
      </c>
    </row>
    <row r="85" spans="1:18">
      <c r="A85" s="86">
        <f t="shared" ca="1" si="8"/>
        <v>0.80735632409439206</v>
      </c>
      <c r="B85" s="86">
        <f t="shared" ca="1" si="8"/>
        <v>0.22909871097065632</v>
      </c>
      <c r="G85" s="86">
        <f t="shared" ca="1" si="9"/>
        <v>0.80735632409439206</v>
      </c>
      <c r="H85" s="86">
        <f t="shared" ca="1" si="10"/>
        <v>0.50869507728180019</v>
      </c>
      <c r="O85" s="86">
        <f t="shared" ca="1" si="13"/>
        <v>96.931928347922323</v>
      </c>
      <c r="P85" s="86">
        <f t="shared" ca="1" si="13"/>
        <v>77.508820386383633</v>
      </c>
      <c r="Q85" s="86">
        <f t="shared" ca="1" si="12"/>
        <v>-1.5338509204876097E-2</v>
      </c>
      <c r="R85" s="86">
        <f t="shared" ca="1" si="12"/>
        <v>-9.6718104723551596E-3</v>
      </c>
    </row>
    <row r="86" spans="1:18">
      <c r="A86" s="86">
        <f t="shared" ca="1" si="8"/>
        <v>0.49033349116179964</v>
      </c>
      <c r="B86" s="86">
        <f t="shared" ca="1" si="8"/>
        <v>0.7646703924232533</v>
      </c>
      <c r="G86" s="86">
        <f t="shared" ca="1" si="9"/>
        <v>0.49033349116179964</v>
      </c>
      <c r="H86" s="86">
        <f t="shared" ca="1" si="10"/>
        <v>0.89107568070381893</v>
      </c>
      <c r="O86" s="86">
        <f t="shared" ca="1" si="13"/>
        <v>97.839891889859715</v>
      </c>
      <c r="P86" s="86">
        <f t="shared" ca="1" si="13"/>
        <v>78.83197696769939</v>
      </c>
      <c r="Q86" s="86">
        <f t="shared" ca="1" si="12"/>
        <v>-9.3234238707998879E-3</v>
      </c>
      <c r="R86" s="86">
        <f t="shared" ca="1" si="12"/>
        <v>-1.6926972311654017E-2</v>
      </c>
    </row>
    <row r="87" spans="1:18">
      <c r="A87" s="86">
        <f t="shared" ca="1" si="8"/>
        <v>0.13018755297287005</v>
      </c>
      <c r="B87" s="86">
        <f t="shared" ca="1" si="8"/>
        <v>5.7247050400038885E-2</v>
      </c>
      <c r="G87" s="86">
        <f t="shared" ca="1" si="9"/>
        <v>0.13018755297287005</v>
      </c>
      <c r="H87" s="86">
        <f t="shared" ca="1" si="10"/>
        <v>0.10092359963855634</v>
      </c>
      <c r="O87" s="86">
        <f t="shared" ca="1" si="13"/>
        <v>98.083830036407377</v>
      </c>
      <c r="P87" s="86">
        <f t="shared" ca="1" si="13"/>
        <v>78.984655885078041</v>
      </c>
      <c r="Q87" s="86">
        <f t="shared" ca="1" si="12"/>
        <v>-2.4901351423885086E-3</v>
      </c>
      <c r="R87" s="86">
        <f t="shared" ca="1" si="12"/>
        <v>-1.9348906671248216E-3</v>
      </c>
    </row>
    <row r="88" spans="1:18">
      <c r="A88" s="86">
        <f t="shared" ca="1" si="8"/>
        <v>-2.5132095810069161E-2</v>
      </c>
      <c r="B88" s="86">
        <f t="shared" ca="1" si="8"/>
        <v>-0.74228507840595914</v>
      </c>
      <c r="G88" s="86">
        <f t="shared" ca="1" si="9"/>
        <v>-2.5132095810069161E-2</v>
      </c>
      <c r="H88" s="86">
        <f t="shared" ca="1" si="10"/>
        <v>-0.69997986434713866</v>
      </c>
      <c r="O88" s="86">
        <f t="shared" ca="1" si="13"/>
        <v>98.039030869709066</v>
      </c>
      <c r="P88" s="86">
        <f t="shared" ca="1" si="13"/>
        <v>77.944140303275077</v>
      </c>
      <c r="Q88" s="86">
        <f t="shared" ca="1" si="12"/>
        <v>4.5684799080018942E-4</v>
      </c>
      <c r="R88" s="86">
        <f t="shared" ca="1" si="12"/>
        <v>1.3261184125555976E-2</v>
      </c>
    </row>
    <row r="89" spans="1:18">
      <c r="A89" s="86">
        <f t="shared" ca="1" si="8"/>
        <v>-0.65051688652348982</v>
      </c>
      <c r="B89" s="86">
        <f t="shared" ca="1" si="8"/>
        <v>0.69833005777888357</v>
      </c>
      <c r="G89" s="86">
        <f t="shared" ca="1" si="9"/>
        <v>-0.65051688652348982</v>
      </c>
      <c r="H89" s="86">
        <f t="shared" ca="1" si="10"/>
        <v>0.41178714186278398</v>
      </c>
      <c r="O89" s="86">
        <f t="shared" ca="1" si="13"/>
        <v>96.838339342305915</v>
      </c>
      <c r="P89" s="86">
        <f t="shared" ca="1" si="13"/>
        <v>78.557082948859318</v>
      </c>
      <c r="Q89" s="86">
        <f t="shared" ca="1" si="12"/>
        <v>1.2322690106893169E-2</v>
      </c>
      <c r="R89" s="86">
        <f t="shared" ca="1" si="12"/>
        <v>-7.833111676743618E-3</v>
      </c>
    </row>
    <row r="90" spans="1:18">
      <c r="A90" s="86">
        <f t="shared" ca="1" si="8"/>
        <v>-0.15810894179528234</v>
      </c>
      <c r="B90" s="86">
        <f t="shared" ca="1" si="8"/>
        <v>1.0483008123978141</v>
      </c>
      <c r="G90" s="86">
        <f t="shared" ca="1" si="9"/>
        <v>-0.15810894179528234</v>
      </c>
      <c r="H90" s="86">
        <f t="shared" ca="1" si="10"/>
        <v>0.9176964311278033</v>
      </c>
      <c r="O90" s="86">
        <f t="shared" ca="1" si="13"/>
        <v>96.550199697726597</v>
      </c>
      <c r="P90" s="86">
        <f t="shared" ca="1" si="13"/>
        <v>79.938500667822282</v>
      </c>
      <c r="Q90" s="86">
        <f t="shared" ca="1" si="12"/>
        <v>2.979906247072576E-3</v>
      </c>
      <c r="R90" s="86">
        <f t="shared" ca="1" si="12"/>
        <v>-1.7432065537830232E-2</v>
      </c>
    </row>
    <row r="91" spans="1:18">
      <c r="A91" s="86">
        <f t="shared" ca="1" si="8"/>
        <v>-0.87344471589065076</v>
      </c>
      <c r="B91" s="86">
        <f t="shared" ca="1" si="8"/>
        <v>-0.90574731807872688</v>
      </c>
      <c r="G91" s="86">
        <f t="shared" ca="1" si="9"/>
        <v>-0.87344471589065076</v>
      </c>
      <c r="H91" s="86">
        <f t="shared" ca="1" si="10"/>
        <v>-1.1625826710346341</v>
      </c>
      <c r="O91" s="86">
        <f t="shared" ca="1" si="13"/>
        <v>94.965211417802863</v>
      </c>
      <c r="P91" s="86">
        <f t="shared" ca="1" si="13"/>
        <v>78.196050576261186</v>
      </c>
      <c r="Q91" s="86">
        <f t="shared" ca="1" si="12"/>
        <v>1.6552448274718825E-2</v>
      </c>
      <c r="R91" s="86">
        <f t="shared" ca="1" si="12"/>
        <v>2.2038455252270231E-2</v>
      </c>
    </row>
    <row r="92" spans="1:18">
      <c r="A92" s="86">
        <f t="shared" ref="A92:B155" ca="1" si="14">_xlfn.NORM.S.INV(RAND())</f>
        <v>3.0283972659485165</v>
      </c>
      <c r="B92" s="86">
        <f t="shared" ca="1" si="14"/>
        <v>-1.3938049475352356</v>
      </c>
      <c r="G92" s="86">
        <f t="shared" ca="1" si="9"/>
        <v>3.0283972659485165</v>
      </c>
      <c r="H92" s="86">
        <f t="shared" ca="1" si="10"/>
        <v>-0.18870218356112067</v>
      </c>
      <c r="O92" s="86">
        <f t="shared" ca="1" si="13"/>
        <v>100.58372115769475</v>
      </c>
      <c r="P92" s="86">
        <f t="shared" ca="1" si="13"/>
        <v>77.918138560554539</v>
      </c>
      <c r="Q92" s="86">
        <f t="shared" ca="1" si="12"/>
        <v>-5.7479798121344072E-2</v>
      </c>
      <c r="R92" s="86">
        <f t="shared" ca="1" si="12"/>
        <v>3.5603721970019586E-3</v>
      </c>
    </row>
    <row r="93" spans="1:18">
      <c r="A93" s="86">
        <f t="shared" ca="1" si="14"/>
        <v>0.5860136264955409</v>
      </c>
      <c r="B93" s="86">
        <f t="shared" ca="1" si="14"/>
        <v>0.62618927017589254</v>
      </c>
      <c r="G93" s="86">
        <f t="shared" ca="1" si="9"/>
        <v>0.5860136264955409</v>
      </c>
      <c r="H93" s="86">
        <f t="shared" ca="1" si="10"/>
        <v>0.79722202135652087</v>
      </c>
      <c r="O93" s="86">
        <f t="shared" ca="1" si="13"/>
        <v>101.71036892460998</v>
      </c>
      <c r="P93" s="86">
        <f t="shared" ca="1" si="13"/>
        <v>79.107286987715895</v>
      </c>
      <c r="Q93" s="86">
        <f t="shared" ca="1" si="12"/>
        <v>-1.1138826797726605E-2</v>
      </c>
      <c r="R93" s="86">
        <f t="shared" ca="1" si="12"/>
        <v>-1.5146224329980099E-2</v>
      </c>
    </row>
    <row r="94" spans="1:18">
      <c r="A94" s="86">
        <f t="shared" ca="1" si="14"/>
        <v>-1.3727241495912239E-2</v>
      </c>
      <c r="B94" s="86">
        <f t="shared" ca="1" si="14"/>
        <v>-1.1840270340797412</v>
      </c>
      <c r="G94" s="86">
        <f t="shared" ca="1" si="9"/>
        <v>-1.3727241495912239E-2</v>
      </c>
      <c r="H94" s="86">
        <f t="shared" ca="1" si="10"/>
        <v>-1.1068973117139416</v>
      </c>
      <c r="O94" s="86">
        <f t="shared" ca="1" si="13"/>
        <v>101.68591498667394</v>
      </c>
      <c r="P94" s="86">
        <f t="shared" ca="1" si="13"/>
        <v>77.464757765397053</v>
      </c>
      <c r="Q94" s="86">
        <f t="shared" ca="1" si="12"/>
        <v>2.4045609470953023E-4</v>
      </c>
      <c r="R94" s="86">
        <f t="shared" ca="1" si="12"/>
        <v>2.0981899845600657E-2</v>
      </c>
    </row>
    <row r="95" spans="1:18">
      <c r="A95" s="86">
        <f t="shared" ca="1" si="14"/>
        <v>0.95766945720186047</v>
      </c>
      <c r="B95" s="86">
        <f t="shared" ca="1" si="14"/>
        <v>-2.1683012593880444</v>
      </c>
      <c r="G95" s="86">
        <f t="shared" ca="1" si="9"/>
        <v>0.95766945720186047</v>
      </c>
      <c r="H95" s="86">
        <f t="shared" ca="1" si="10"/>
        <v>-1.6673463310421104</v>
      </c>
      <c r="O95" s="86">
        <f t="shared" ca="1" si="13"/>
        <v>103.5525587828954</v>
      </c>
      <c r="P95" s="86">
        <f t="shared" ca="1" si="13"/>
        <v>75.0539675493755</v>
      </c>
      <c r="Q95" s="86">
        <f t="shared" ca="1" si="12"/>
        <v>-1.8190500382010318E-2</v>
      </c>
      <c r="R95" s="86">
        <f t="shared" ca="1" si="12"/>
        <v>3.1615672326509088E-2</v>
      </c>
    </row>
    <row r="96" spans="1:18">
      <c r="A96" s="86">
        <f t="shared" ca="1" si="14"/>
        <v>0.49795868952028866</v>
      </c>
      <c r="B96" s="86">
        <f t="shared" ca="1" si="14"/>
        <v>0.79791729428116753</v>
      </c>
      <c r="G96" s="86">
        <f t="shared" ca="1" si="9"/>
        <v>0.49795868952028866</v>
      </c>
      <c r="H96" s="86">
        <f t="shared" ca="1" si="10"/>
        <v>0.92480656390563243</v>
      </c>
      <c r="O96" s="86">
        <f t="shared" ca="1" si="13"/>
        <v>104.53766112048527</v>
      </c>
      <c r="P96" s="86">
        <f t="shared" ca="1" si="13"/>
        <v>76.384087288824489</v>
      </c>
      <c r="Q96" s="86">
        <f t="shared" ca="1" si="12"/>
        <v>-9.4681018373403703E-3</v>
      </c>
      <c r="R96" s="86">
        <f t="shared" ca="1" si="12"/>
        <v>-1.756697082209514E-2</v>
      </c>
    </row>
    <row r="97" spans="1:18">
      <c r="A97" s="86">
        <f t="shared" ca="1" si="14"/>
        <v>0.86347788547859394</v>
      </c>
      <c r="B97" s="86">
        <f t="shared" ca="1" si="14"/>
        <v>-0.56623220027847887</v>
      </c>
      <c r="G97" s="86">
        <f t="shared" ca="1" si="9"/>
        <v>0.86347788547859394</v>
      </c>
      <c r="H97" s="86">
        <f t="shared" ca="1" si="10"/>
        <v>-0.21091118833405803</v>
      </c>
      <c r="O97" s="86">
        <f t="shared" ca="1" si="13"/>
        <v>106.26656918745159</v>
      </c>
      <c r="P97" s="86">
        <f t="shared" ca="1" si="13"/>
        <v>76.080549014048444</v>
      </c>
      <c r="Q97" s="86">
        <f t="shared" ca="1" si="12"/>
        <v>-1.6403340963790234E-2</v>
      </c>
      <c r="R97" s="86">
        <f t="shared" ca="1" si="12"/>
        <v>3.9817584348901744E-3</v>
      </c>
    </row>
    <row r="98" spans="1:18">
      <c r="A98" s="86">
        <f t="shared" ca="1" si="14"/>
        <v>-0.72410255742821616</v>
      </c>
      <c r="B98" s="86">
        <f t="shared" ca="1" si="14"/>
        <v>-0.44762794256587163</v>
      </c>
      <c r="G98" s="86">
        <f t="shared" ca="1" si="9"/>
        <v>-0.72410255742821616</v>
      </c>
      <c r="H98" s="86">
        <f t="shared" ca="1" si="10"/>
        <v>-0.68159074687622989</v>
      </c>
      <c r="O98" s="86">
        <f t="shared" ca="1" si="13"/>
        <v>104.8186653899228</v>
      </c>
      <c r="P98" s="86">
        <f t="shared" ca="1" si="13"/>
        <v>75.104491156389955</v>
      </c>
      <c r="Q98" s="86">
        <f t="shared" ca="1" si="12"/>
        <v>1.3718880046156109E-2</v>
      </c>
      <c r="R98" s="86">
        <f t="shared" ca="1" si="12"/>
        <v>1.2912275153345028E-2</v>
      </c>
    </row>
    <row r="99" spans="1:18">
      <c r="A99" s="86">
        <f t="shared" ca="1" si="14"/>
        <v>-0.42872570419389422</v>
      </c>
      <c r="B99" s="86">
        <f t="shared" ca="1" si="14"/>
        <v>0.44044196253624707</v>
      </c>
      <c r="G99" s="86">
        <f t="shared" ca="1" si="9"/>
        <v>-0.42872570419389422</v>
      </c>
      <c r="H99" s="86">
        <f t="shared" ca="1" si="10"/>
        <v>0.25296822339146097</v>
      </c>
      <c r="O99" s="86">
        <f t="shared" ca="1" si="13"/>
        <v>103.97155608942886</v>
      </c>
      <c r="P99" s="86">
        <f t="shared" ca="1" si="13"/>
        <v>75.467348604599067</v>
      </c>
      <c r="Q99" s="86">
        <f t="shared" ca="1" si="12"/>
        <v>8.1144983002738001E-3</v>
      </c>
      <c r="R99" s="86">
        <f t="shared" ca="1" si="12"/>
        <v>-4.8197345693798714E-3</v>
      </c>
    </row>
    <row r="100" spans="1:18">
      <c r="A100" s="86">
        <f t="shared" ca="1" si="14"/>
        <v>-0.6057859189866015</v>
      </c>
      <c r="B100" s="86">
        <f t="shared" ca="1" si="14"/>
        <v>-0.43192708944086294</v>
      </c>
      <c r="G100" s="86">
        <f t="shared" ca="1" si="9"/>
        <v>-0.6057859189866015</v>
      </c>
      <c r="H100" s="86">
        <f t="shared" ca="1" si="10"/>
        <v>-0.62367541012270289</v>
      </c>
      <c r="O100" s="86">
        <f t="shared" ref="O100:P115" ca="1" si="15">O99*EXP((0.05-0.3^2/2)*1/250+0.3*SQRT(1/250)*G100)</f>
        <v>102.78540650984452</v>
      </c>
      <c r="P100" s="86">
        <f t="shared" ca="1" si="15"/>
        <v>74.581067266057175</v>
      </c>
      <c r="Q100" s="86">
        <f t="shared" ca="1" si="12"/>
        <v>1.1473979670735414E-2</v>
      </c>
      <c r="R100" s="86">
        <f t="shared" ca="1" si="12"/>
        <v>1.1813408899764241E-2</v>
      </c>
    </row>
    <row r="101" spans="1:18">
      <c r="A101" s="86">
        <f t="shared" ca="1" si="14"/>
        <v>-2.1601246049414935</v>
      </c>
      <c r="B101" s="86">
        <f t="shared" ca="1" si="14"/>
        <v>-0.30989512232088257</v>
      </c>
      <c r="G101" s="86">
        <f t="shared" ca="1" si="9"/>
        <v>-2.1601246049414935</v>
      </c>
      <c r="H101" s="86">
        <f t="shared" ca="1" si="10"/>
        <v>-1.0789986083427197</v>
      </c>
      <c r="O101" s="86">
        <f t="shared" ca="1" si="15"/>
        <v>98.659832715097906</v>
      </c>
      <c r="P101" s="86">
        <f t="shared" ca="1" si="15"/>
        <v>73.071186668637608</v>
      </c>
      <c r="Q101" s="86">
        <f t="shared" ca="1" si="12"/>
        <v>4.0965482688319205E-2</v>
      </c>
      <c r="R101" s="86">
        <f t="shared" ca="1" si="12"/>
        <v>2.0452559167089671E-2</v>
      </c>
    </row>
    <row r="102" spans="1:18">
      <c r="A102" s="86">
        <f t="shared" ca="1" si="14"/>
        <v>-0.23159788106518012</v>
      </c>
      <c r="B102" s="86">
        <f t="shared" ca="1" si="14"/>
        <v>-1.5711653735134044</v>
      </c>
      <c r="G102" s="86">
        <f t="shared" ca="1" si="9"/>
        <v>-0.23159788106518012</v>
      </c>
      <c r="H102" s="86">
        <f t="shared" ca="1" si="10"/>
        <v>-1.5469146536771741</v>
      </c>
      <c r="O102" s="86">
        <f t="shared" ca="1" si="15"/>
        <v>98.229211384741234</v>
      </c>
      <c r="P102" s="86">
        <f t="shared" ca="1" si="15"/>
        <v>70.959087880549347</v>
      </c>
      <c r="Q102" s="86">
        <f t="shared" ca="1" si="12"/>
        <v>4.3742608326085902E-3</v>
      </c>
      <c r="R102" s="86">
        <f t="shared" ca="1" si="12"/>
        <v>2.9330641909062531E-2</v>
      </c>
    </row>
    <row r="103" spans="1:18">
      <c r="A103" s="86">
        <f t="shared" ca="1" si="14"/>
        <v>1.6831196206280286</v>
      </c>
      <c r="B103" s="86">
        <f t="shared" ca="1" si="14"/>
        <v>0.83118016829870844</v>
      </c>
      <c r="G103" s="86">
        <f t="shared" ca="1" si="9"/>
        <v>1.6831196206280286</v>
      </c>
      <c r="H103" s="86">
        <f t="shared" ca="1" si="10"/>
        <v>1.3895303892226152</v>
      </c>
      <c r="O103" s="86">
        <f t="shared" ca="1" si="15"/>
        <v>101.41881121134568</v>
      </c>
      <c r="P103" s="86">
        <f t="shared" ca="1" si="15"/>
        <v>72.856224331725812</v>
      </c>
      <c r="Q103" s="86">
        <f t="shared" ca="1" si="12"/>
        <v>-3.1954949454218701E-2</v>
      </c>
      <c r="R103" s="86">
        <f t="shared" ca="1" si="12"/>
        <v>-2.638448544778247E-2</v>
      </c>
    </row>
    <row r="104" spans="1:18">
      <c r="A104" s="86">
        <f t="shared" ca="1" si="14"/>
        <v>-1.8225806002990024</v>
      </c>
      <c r="B104" s="86">
        <f t="shared" ca="1" si="14"/>
        <v>-2.0310042323576702</v>
      </c>
      <c r="G104" s="86">
        <f t="shared" ca="1" si="9"/>
        <v>-1.8225806002990024</v>
      </c>
      <c r="H104" s="86">
        <f t="shared" ca="1" si="10"/>
        <v>-2.5571471998013307</v>
      </c>
      <c r="O104" s="86">
        <f t="shared" ca="1" si="15"/>
        <v>97.973550889270697</v>
      </c>
      <c r="P104" s="86">
        <f t="shared" ca="1" si="15"/>
        <v>69.407123933959952</v>
      </c>
      <c r="Q104" s="86">
        <f t="shared" ca="1" si="12"/>
        <v>3.4561035497090824E-2</v>
      </c>
      <c r="R104" s="86">
        <f t="shared" ca="1" si="12"/>
        <v>4.8498456782163253E-2</v>
      </c>
    </row>
    <row r="105" spans="1:18">
      <c r="A105" s="86">
        <f t="shared" ca="1" si="14"/>
        <v>0.11578348577538893</v>
      </c>
      <c r="B105" s="86">
        <f t="shared" ca="1" si="14"/>
        <v>-0.87176702337273537</v>
      </c>
      <c r="G105" s="86">
        <f t="shared" ca="1" si="9"/>
        <v>0.11578348577538893</v>
      </c>
      <c r="H105" s="86">
        <f t="shared" ca="1" si="10"/>
        <v>-0.7689025823465746</v>
      </c>
      <c r="O105" s="86">
        <f t="shared" ca="1" si="15"/>
        <v>98.190983216812171</v>
      </c>
      <c r="P105" s="86">
        <f t="shared" ca="1" si="15"/>
        <v>68.403268723080956</v>
      </c>
      <c r="Q105" s="86">
        <f t="shared" ca="1" si="12"/>
        <v>-2.2168371829034967E-3</v>
      </c>
      <c r="R105" s="86">
        <f t="shared" ca="1" si="12"/>
        <v>1.4568900754002131E-2</v>
      </c>
    </row>
    <row r="106" spans="1:18">
      <c r="A106" s="86">
        <f t="shared" ca="1" si="14"/>
        <v>-0.53917075390486402</v>
      </c>
      <c r="B106" s="86">
        <f t="shared" ca="1" si="14"/>
        <v>-1.2751779963021381</v>
      </c>
      <c r="G106" s="86">
        <f t="shared" ca="1" si="9"/>
        <v>-0.53917075390486402</v>
      </c>
      <c r="H106" s="86">
        <f t="shared" ca="1" si="10"/>
        <v>-1.3840360763385586</v>
      </c>
      <c r="O106" s="86">
        <f t="shared" ca="1" si="15"/>
        <v>97.193549370329194</v>
      </c>
      <c r="P106" s="86">
        <f t="shared" ca="1" si="15"/>
        <v>66.631695559909758</v>
      </c>
      <c r="Q106" s="86">
        <f t="shared" ca="1" si="12"/>
        <v>1.021004578053699E-2</v>
      </c>
      <c r="R106" s="86">
        <f t="shared" ca="1" si="12"/>
        <v>2.6240238190434952E-2</v>
      </c>
    </row>
    <row r="107" spans="1:18">
      <c r="A107" s="86">
        <f t="shared" ca="1" si="14"/>
        <v>0.15680025596885311</v>
      </c>
      <c r="B107" s="86">
        <f t="shared" ca="1" si="14"/>
        <v>1.9058653401638551E-2</v>
      </c>
      <c r="G107" s="86">
        <f t="shared" ca="1" si="9"/>
        <v>0.15680025596885311</v>
      </c>
      <c r="H107" s="86">
        <f t="shared" ca="1" si="10"/>
        <v>7.5125159570992958E-2</v>
      </c>
      <c r="O107" s="86">
        <f t="shared" ca="1" si="15"/>
        <v>97.485087778099171</v>
      </c>
      <c r="P107" s="86">
        <f t="shared" ca="1" si="15"/>
        <v>66.728074627905372</v>
      </c>
      <c r="Q107" s="86">
        <f t="shared" ca="1" si="12"/>
        <v>-2.9950756793540429E-3</v>
      </c>
      <c r="R107" s="86">
        <f t="shared" ca="1" si="12"/>
        <v>-1.4453996829676265E-3</v>
      </c>
    </row>
    <row r="108" spans="1:18">
      <c r="A108" s="86">
        <f t="shared" ca="1" si="14"/>
        <v>2.3412951117362444</v>
      </c>
      <c r="B108" s="86">
        <f t="shared" ca="1" si="14"/>
        <v>0.67660850907177705</v>
      </c>
      <c r="G108" s="86">
        <f t="shared" ca="1" si="9"/>
        <v>2.3412951117362444</v>
      </c>
      <c r="H108" s="86">
        <f t="shared" ca="1" si="10"/>
        <v>1.4865759374228174</v>
      </c>
      <c r="O108" s="86">
        <f t="shared" ca="1" si="15"/>
        <v>101.91533013086682</v>
      </c>
      <c r="P108" s="86">
        <f t="shared" ca="1" si="15"/>
        <v>68.638360444111228</v>
      </c>
      <c r="Q108" s="86">
        <f t="shared" ca="1" si="12"/>
        <v>-4.4442951366229701E-2</v>
      </c>
      <c r="R108" s="86">
        <f t="shared" ca="1" si="12"/>
        <v>-2.8225795262336355E-2</v>
      </c>
    </row>
    <row r="109" spans="1:18">
      <c r="A109" s="86">
        <f t="shared" ca="1" si="14"/>
        <v>0.63113477420645792</v>
      </c>
      <c r="B109" s="86">
        <f t="shared" ca="1" si="14"/>
        <v>-2.2873343956213095</v>
      </c>
      <c r="G109" s="86">
        <f t="shared" ca="1" si="9"/>
        <v>0.63113477420645792</v>
      </c>
      <c r="H109" s="86">
        <f t="shared" ca="1" si="10"/>
        <v>-1.8976320293005395</v>
      </c>
      <c r="O109" s="86">
        <f t="shared" ca="1" si="15"/>
        <v>103.14515955967978</v>
      </c>
      <c r="P109" s="86">
        <f t="shared" ca="1" si="15"/>
        <v>66.212318940787512</v>
      </c>
      <c r="Q109" s="86">
        <f t="shared" ca="1" si="12"/>
        <v>-1.1994940382170858E-2</v>
      </c>
      <c r="R109" s="86">
        <f t="shared" ca="1" si="12"/>
        <v>3.5985036240862397E-2</v>
      </c>
    </row>
    <row r="110" spans="1:18">
      <c r="A110" s="86">
        <f t="shared" ca="1" si="14"/>
        <v>-0.44111646953332462</v>
      </c>
      <c r="B110" s="86">
        <f t="shared" ca="1" si="14"/>
        <v>-0.38308350179049605</v>
      </c>
      <c r="G110" s="86">
        <f t="shared" ca="1" si="9"/>
        <v>-0.44111646953332462</v>
      </c>
      <c r="H110" s="86">
        <f t="shared" ca="1" si="10"/>
        <v>-0.51795182360291636</v>
      </c>
      <c r="O110" s="86">
        <f t="shared" ca="1" si="15"/>
        <v>102.28752452781055</v>
      </c>
      <c r="P110" s="86">
        <f t="shared" ca="1" si="15"/>
        <v>65.566119235672204</v>
      </c>
      <c r="Q110" s="86">
        <f t="shared" ca="1" si="12"/>
        <v>8.3495965428253254E-3</v>
      </c>
      <c r="R110" s="86">
        <f t="shared" ca="1" si="12"/>
        <v>9.8074448849377327E-3</v>
      </c>
    </row>
    <row r="111" spans="1:18">
      <c r="A111" s="86">
        <f t="shared" ca="1" si="14"/>
        <v>7.68234438183093E-2</v>
      </c>
      <c r="B111" s="86">
        <f t="shared" ca="1" si="14"/>
        <v>-0.60849950537248854</v>
      </c>
      <c r="G111" s="86">
        <f t="shared" ca="1" si="9"/>
        <v>7.68234438183093E-2</v>
      </c>
      <c r="H111" s="86">
        <f t="shared" ca="1" si="10"/>
        <v>-0.53816129579347727</v>
      </c>
      <c r="O111" s="86">
        <f t="shared" ca="1" si="15"/>
        <v>102.43877858196848</v>
      </c>
      <c r="P111" s="86">
        <f t="shared" ca="1" si="15"/>
        <v>64.901335077817535</v>
      </c>
      <c r="Q111" s="86">
        <f t="shared" ca="1" si="12"/>
        <v>-1.4776223609830334E-3</v>
      </c>
      <c r="R111" s="86">
        <f t="shared" ca="1" si="12"/>
        <v>1.0190892659529821E-2</v>
      </c>
    </row>
    <row r="112" spans="1:18">
      <c r="A112" s="86">
        <f t="shared" ca="1" si="14"/>
        <v>-1.2776736100721937</v>
      </c>
      <c r="B112" s="86">
        <f t="shared" ca="1" si="14"/>
        <v>-7.2046533024263296E-2</v>
      </c>
      <c r="G112" s="86">
        <f t="shared" ca="1" si="9"/>
        <v>-1.2776736100721937</v>
      </c>
      <c r="H112" s="86">
        <f t="shared" ca="1" si="10"/>
        <v>-0.53467611484695821</v>
      </c>
      <c r="O112" s="86">
        <f t="shared" ca="1" si="15"/>
        <v>99.987300779869173</v>
      </c>
      <c r="P112" s="86">
        <f t="shared" ca="1" si="15"/>
        <v>64.247539595261856</v>
      </c>
      <c r="Q112" s="86">
        <f t="shared" ca="1" si="12"/>
        <v>2.4222152284707758E-2</v>
      </c>
      <c r="R112" s="86">
        <f t="shared" ca="1" si="12"/>
        <v>1.0124766000437128E-2</v>
      </c>
    </row>
    <row r="113" spans="1:18">
      <c r="A113" s="86">
        <f t="shared" ca="1" si="14"/>
        <v>0.30492855637624805</v>
      </c>
      <c r="B113" s="86">
        <f t="shared" ca="1" si="14"/>
        <v>1.249251864963919</v>
      </c>
      <c r="G113" s="86">
        <f t="shared" ca="1" si="9"/>
        <v>0.30492855637624805</v>
      </c>
      <c r="H113" s="86">
        <f t="shared" ca="1" si="10"/>
        <v>1.274176189203323</v>
      </c>
      <c r="O113" s="86">
        <f t="shared" ca="1" si="15"/>
        <v>100.56947661867466</v>
      </c>
      <c r="P113" s="86">
        <f t="shared" ca="1" si="15"/>
        <v>65.821018814545909</v>
      </c>
      <c r="Q113" s="86">
        <f t="shared" ca="1" si="12"/>
        <v>-5.8056125706559608E-3</v>
      </c>
      <c r="R113" s="86">
        <f t="shared" ca="1" si="12"/>
        <v>-2.419579338941703E-2</v>
      </c>
    </row>
    <row r="114" spans="1:18">
      <c r="A114" s="86">
        <f t="shared" ca="1" si="14"/>
        <v>-2.921746463705233E-2</v>
      </c>
      <c r="B114" s="86">
        <f t="shared" ca="1" si="14"/>
        <v>-4.7723293489501439E-2</v>
      </c>
      <c r="G114" s="86">
        <f t="shared" ca="1" si="9"/>
        <v>-2.921746463705233E-2</v>
      </c>
      <c r="H114" s="86">
        <f t="shared" ca="1" si="10"/>
        <v>-5.5105597694001217E-2</v>
      </c>
      <c r="O114" s="86">
        <f t="shared" ca="1" si="15"/>
        <v>100.5157504262561</v>
      </c>
      <c r="P114" s="86">
        <f t="shared" ca="1" si="15"/>
        <v>65.75355032846079</v>
      </c>
      <c r="Q114" s="86">
        <f t="shared" ca="1" si="12"/>
        <v>5.3436241425108529E-4</v>
      </c>
      <c r="R114" s="86">
        <f t="shared" ca="1" si="12"/>
        <v>1.0255552032277535E-3</v>
      </c>
    </row>
    <row r="115" spans="1:18">
      <c r="A115" s="86">
        <f t="shared" ca="1" si="14"/>
        <v>0.251129705185276</v>
      </c>
      <c r="B115" s="86">
        <f t="shared" ca="1" si="14"/>
        <v>1.8761200647897425</v>
      </c>
      <c r="G115" s="86">
        <f t="shared" ca="1" si="9"/>
        <v>0.251129705185276</v>
      </c>
      <c r="H115" s="86">
        <f t="shared" ca="1" si="10"/>
        <v>1.837858665741261</v>
      </c>
      <c r="O115" s="86">
        <f t="shared" ca="1" si="15"/>
        <v>100.99785581061812</v>
      </c>
      <c r="P115" s="86">
        <f t="shared" ca="1" si="15"/>
        <v>68.088244928212504</v>
      </c>
      <c r="Q115" s="86">
        <f t="shared" ca="1" si="12"/>
        <v>-4.7848511390724139E-3</v>
      </c>
      <c r="R115" s="86">
        <f t="shared" ca="1" si="12"/>
        <v>-3.4890916407322843E-2</v>
      </c>
    </row>
    <row r="116" spans="1:18">
      <c r="A116" s="86">
        <f t="shared" ca="1" si="14"/>
        <v>0.14656676449511596</v>
      </c>
      <c r="B116" s="86">
        <f t="shared" ca="1" si="14"/>
        <v>0.51474956393416749</v>
      </c>
      <c r="G116" s="86">
        <f t="shared" ca="1" si="9"/>
        <v>0.14656676449511596</v>
      </c>
      <c r="H116" s="86">
        <f t="shared" ca="1" si="10"/>
        <v>0.53267702429873032</v>
      </c>
      <c r="O116" s="86">
        <f t="shared" ref="O116:P131" ca="1" si="16">O115*EXP((0.05-0.3^2/2)*1/250+0.3*SQRT(1/250)*G116)</f>
        <v>101.28113813560616</v>
      </c>
      <c r="P116" s="86">
        <f t="shared" ca="1" si="16"/>
        <v>68.781266548484794</v>
      </c>
      <c r="Q116" s="86">
        <f t="shared" ca="1" si="12"/>
        <v>-2.8009088305162425E-3</v>
      </c>
      <c r="R116" s="86">
        <f t="shared" ca="1" si="12"/>
        <v>-1.0126835924148984E-2</v>
      </c>
    </row>
    <row r="117" spans="1:18">
      <c r="A117" s="86">
        <f t="shared" ca="1" si="14"/>
        <v>-1.5377104818465128</v>
      </c>
      <c r="B117" s="86">
        <f t="shared" ca="1" si="14"/>
        <v>-0.54096410084548152</v>
      </c>
      <c r="G117" s="86">
        <f t="shared" ca="1" si="9"/>
        <v>-1.5377104818465128</v>
      </c>
      <c r="H117" s="86">
        <f t="shared" ca="1" si="10"/>
        <v>-1.0662312621983974</v>
      </c>
      <c r="O117" s="86">
        <f t="shared" ca="1" si="16"/>
        <v>98.370817585645881</v>
      </c>
      <c r="P117" s="86">
        <f t="shared" ca="1" si="16"/>
        <v>67.405128364412036</v>
      </c>
      <c r="Q117" s="86">
        <f t="shared" ca="1" si="12"/>
        <v>2.9156005027299935E-2</v>
      </c>
      <c r="R117" s="86">
        <f t="shared" ca="1" si="12"/>
        <v>2.0210315806138787E-2</v>
      </c>
    </row>
    <row r="118" spans="1:18">
      <c r="A118" s="86">
        <f t="shared" ca="1" si="14"/>
        <v>-6.5364366139333996E-2</v>
      </c>
      <c r="B118" s="86">
        <f t="shared" ca="1" si="14"/>
        <v>9.4409680070008134E-2</v>
      </c>
      <c r="G118" s="86">
        <f t="shared" ca="1" si="9"/>
        <v>-6.5364366139333996E-2</v>
      </c>
      <c r="H118" s="86">
        <f t="shared" ca="1" si="10"/>
        <v>6.3935692298571239E-2</v>
      </c>
      <c r="O118" s="86">
        <f t="shared" ca="1" si="16"/>
        <v>98.250858553814169</v>
      </c>
      <c r="P118" s="86">
        <f t="shared" ca="1" si="16"/>
        <v>67.488296521916681</v>
      </c>
      <c r="Q118" s="86">
        <f t="shared" ca="1" si="12"/>
        <v>1.2202016488810157E-3</v>
      </c>
      <c r="R118" s="86">
        <f t="shared" ca="1" si="12"/>
        <v>-1.2330944686589674E-3</v>
      </c>
    </row>
    <row r="119" spans="1:18">
      <c r="A119" s="86">
        <f t="shared" ca="1" si="14"/>
        <v>-1.8547209037968566</v>
      </c>
      <c r="B119" s="86">
        <f t="shared" ca="1" si="14"/>
        <v>0.85077188571649853</v>
      </c>
      <c r="G119" s="86">
        <f t="shared" ca="1" si="9"/>
        <v>-1.8547209037968566</v>
      </c>
      <c r="H119" s="86">
        <f t="shared" ca="1" si="10"/>
        <v>0.11291310045920611</v>
      </c>
      <c r="O119" s="86">
        <f t="shared" ca="1" si="16"/>
        <v>94.855353287000355</v>
      </c>
      <c r="P119" s="86">
        <f t="shared" ca="1" si="16"/>
        <v>67.63438945448712</v>
      </c>
      <c r="Q119" s="86">
        <f t="shared" ca="1" si="12"/>
        <v>3.5170854879544654E-2</v>
      </c>
      <c r="R119" s="86">
        <f t="shared" ca="1" si="12"/>
        <v>-2.1623754507349162E-3</v>
      </c>
    </row>
    <row r="120" spans="1:18">
      <c r="A120" s="86">
        <f t="shared" ca="1" si="14"/>
        <v>1.7160473248430586</v>
      </c>
      <c r="B120" s="86">
        <f t="shared" ca="1" si="14"/>
        <v>-0.56473967421583382</v>
      </c>
      <c r="G120" s="86">
        <f t="shared" ca="1" si="9"/>
        <v>1.7160473248430586</v>
      </c>
      <c r="H120" s="86">
        <f t="shared" ca="1" si="10"/>
        <v>0.10251819339201496</v>
      </c>
      <c r="O120" s="86">
        <f t="shared" ca="1" si="16"/>
        <v>97.996605763821307</v>
      </c>
      <c r="P120" s="86">
        <f t="shared" ca="1" si="16"/>
        <v>67.767431582218066</v>
      </c>
      <c r="Q120" s="86">
        <f t="shared" ca="1" si="12"/>
        <v>-3.2579708714857616E-2</v>
      </c>
      <c r="R120" s="86">
        <f t="shared" ca="1" si="12"/>
        <v>-1.9651459563463296E-3</v>
      </c>
    </row>
    <row r="121" spans="1:18">
      <c r="A121" s="86">
        <f t="shared" ca="1" si="14"/>
        <v>0.55003609543725762</v>
      </c>
      <c r="B121" s="86">
        <f t="shared" ca="1" si="14"/>
        <v>1.161794414208922</v>
      </c>
      <c r="G121" s="86">
        <f t="shared" ca="1" si="9"/>
        <v>0.55003609543725762</v>
      </c>
      <c r="H121" s="86">
        <f t="shared" ca="1" si="10"/>
        <v>1.2824963460388235</v>
      </c>
      <c r="O121" s="86">
        <f t="shared" ca="1" si="16"/>
        <v>99.026653794790732</v>
      </c>
      <c r="P121" s="86">
        <f t="shared" ca="1" si="16"/>
        <v>69.43807697651944</v>
      </c>
      <c r="Q121" s="86">
        <f t="shared" ca="1" si="12"/>
        <v>-1.045620114132486E-2</v>
      </c>
      <c r="R121" s="86">
        <f t="shared" ca="1" si="12"/>
        <v>-2.4353657265956903E-2</v>
      </c>
    </row>
    <row r="122" spans="1:18">
      <c r="A122" s="86">
        <f t="shared" ca="1" si="14"/>
        <v>-1.0569078749163228</v>
      </c>
      <c r="B122" s="86">
        <f t="shared" ca="1" si="14"/>
        <v>0.25433379881970164</v>
      </c>
      <c r="G122" s="86">
        <f t="shared" ca="1" si="9"/>
        <v>-1.0569078749163228</v>
      </c>
      <c r="H122" s="86">
        <f t="shared" ca="1" si="10"/>
        <v>-0.15014147204973635</v>
      </c>
      <c r="O122" s="86">
        <f t="shared" ca="1" si="16"/>
        <v>97.062551081086767</v>
      </c>
      <c r="P122" s="86">
        <f t="shared" ca="1" si="16"/>
        <v>69.241932668570158</v>
      </c>
      <c r="Q122" s="86">
        <f t="shared" ca="1" si="12"/>
        <v>2.0033416970223424E-2</v>
      </c>
      <c r="R122" s="86">
        <f t="shared" ca="1" si="12"/>
        <v>2.8287341375660322E-3</v>
      </c>
    </row>
    <row r="123" spans="1:18">
      <c r="A123" s="86">
        <f t="shared" ca="1" si="14"/>
        <v>-0.23297439279500279</v>
      </c>
      <c r="B123" s="86">
        <f t="shared" ca="1" si="14"/>
        <v>0.30652104675529784</v>
      </c>
      <c r="G123" s="86">
        <f t="shared" ca="1" si="9"/>
        <v>-0.23297439279500279</v>
      </c>
      <c r="H123" s="86">
        <f t="shared" ca="1" si="10"/>
        <v>0.1999844103430673</v>
      </c>
      <c r="O123" s="86">
        <f t="shared" ca="1" si="16"/>
        <v>96.636377487146277</v>
      </c>
      <c r="P123" s="86">
        <f t="shared" ca="1" si="16"/>
        <v>69.506556059964254</v>
      </c>
      <c r="Q123" s="86">
        <f t="shared" ca="1" si="12"/>
        <v>4.4003783063615671E-3</v>
      </c>
      <c r="R123" s="86">
        <f t="shared" ca="1" si="12"/>
        <v>-3.8144373992590771E-3</v>
      </c>
    </row>
    <row r="124" spans="1:18">
      <c r="A124" s="86">
        <f t="shared" ca="1" si="14"/>
        <v>-0.29090397813217067</v>
      </c>
      <c r="B124" s="86">
        <f t="shared" ca="1" si="14"/>
        <v>0.29218588556226283</v>
      </c>
      <c r="G124" s="86">
        <f t="shared" ca="1" si="9"/>
        <v>-0.29090397813217067</v>
      </c>
      <c r="H124" s="86">
        <f t="shared" ca="1" si="10"/>
        <v>0.16544166821889189</v>
      </c>
      <c r="O124" s="86">
        <f t="shared" ca="1" si="16"/>
        <v>96.106382980655312</v>
      </c>
      <c r="P124" s="86">
        <f t="shared" ca="1" si="16"/>
        <v>69.726476885625075</v>
      </c>
      <c r="Q124" s="86">
        <f t="shared" ca="1" si="12"/>
        <v>5.4995149078088121E-3</v>
      </c>
      <c r="R124" s="86">
        <f t="shared" ca="1" si="12"/>
        <v>-3.1590349488173734E-3</v>
      </c>
    </row>
    <row r="125" spans="1:18">
      <c r="A125" s="86">
        <f t="shared" ca="1" si="14"/>
        <v>-0.75246868753944318</v>
      </c>
      <c r="B125" s="86">
        <f t="shared" ca="1" si="14"/>
        <v>1.898860968881571</v>
      </c>
      <c r="G125" s="86">
        <f t="shared" ca="1" si="9"/>
        <v>-0.75246868753944318</v>
      </c>
      <c r="H125" s="86">
        <f t="shared" ca="1" si="10"/>
        <v>1.4917046770660183</v>
      </c>
      <c r="O125" s="86">
        <f t="shared" ca="1" si="16"/>
        <v>94.745906933758974</v>
      </c>
      <c r="P125" s="86">
        <f t="shared" ca="1" si="16"/>
        <v>71.72958045141192</v>
      </c>
      <c r="Q125" s="86">
        <f t="shared" ca="1" si="12"/>
        <v>1.4257089523493194E-2</v>
      </c>
      <c r="R125" s="86">
        <f t="shared" ca="1" si="12"/>
        <v>-2.8323106255127385E-2</v>
      </c>
    </row>
    <row r="126" spans="1:18">
      <c r="A126" s="86">
        <f t="shared" ca="1" si="14"/>
        <v>0.96799331332239957</v>
      </c>
      <c r="B126" s="86">
        <f t="shared" ca="1" si="14"/>
        <v>-0.97309261314049367</v>
      </c>
      <c r="G126" s="86">
        <f t="shared" ca="1" si="9"/>
        <v>0.96799331332239957</v>
      </c>
      <c r="H126" s="86">
        <f t="shared" ca="1" si="10"/>
        <v>-0.55128888403948662</v>
      </c>
      <c r="O126" s="86">
        <f t="shared" ca="1" si="16"/>
        <v>96.504054810190226</v>
      </c>
      <c r="P126" s="86">
        <f t="shared" ca="1" si="16"/>
        <v>70.984621145154051</v>
      </c>
      <c r="Q126" s="86">
        <f t="shared" ca="1" si="12"/>
        <v>-1.8386381779470797E-2</v>
      </c>
      <c r="R126" s="86">
        <f t="shared" ca="1" si="12"/>
        <v>1.0439971133783404E-2</v>
      </c>
    </row>
    <row r="127" spans="1:18">
      <c r="A127" s="86">
        <f t="shared" ca="1" si="14"/>
        <v>-1.5300470463608427</v>
      </c>
      <c r="B127" s="86">
        <f t="shared" ca="1" si="14"/>
        <v>0.20070786225776366</v>
      </c>
      <c r="G127" s="86">
        <f t="shared" ca="1" si="9"/>
        <v>-1.5300470463608427</v>
      </c>
      <c r="H127" s="86">
        <f t="shared" ca="1" si="10"/>
        <v>-0.37321550173577267</v>
      </c>
      <c r="O127" s="86">
        <f t="shared" ca="1" si="16"/>
        <v>93.744633885563644</v>
      </c>
      <c r="P127" s="86">
        <f t="shared" ca="1" si="16"/>
        <v>70.485145375863908</v>
      </c>
      <c r="Q127" s="86">
        <f t="shared" ca="1" si="12"/>
        <v>2.9010601562281E-2</v>
      </c>
      <c r="R127" s="86">
        <f t="shared" ca="1" si="12"/>
        <v>7.0612662614055249E-3</v>
      </c>
    </row>
    <row r="128" spans="1:18">
      <c r="A128" s="86">
        <f t="shared" ca="1" si="14"/>
        <v>0.34932795896581686</v>
      </c>
      <c r="B128" s="86">
        <f t="shared" ca="1" si="14"/>
        <v>-0.94555768642148885</v>
      </c>
      <c r="G128" s="86">
        <f t="shared" ca="1" si="9"/>
        <v>0.34932795896581686</v>
      </c>
      <c r="H128" s="86">
        <f t="shared" ca="1" si="10"/>
        <v>-0.75209599202143373</v>
      </c>
      <c r="O128" s="86">
        <f t="shared" ca="1" si="16"/>
        <v>94.36992739452073</v>
      </c>
      <c r="P128" s="86">
        <f t="shared" ca="1" si="16"/>
        <v>69.487853367472781</v>
      </c>
      <c r="Q128" s="86">
        <f t="shared" ca="1" si="12"/>
        <v>-6.6480320042587738E-3</v>
      </c>
      <c r="R128" s="86">
        <f t="shared" ca="1" si="12"/>
        <v>1.4250018123229218E-2</v>
      </c>
    </row>
    <row r="129" spans="1:18">
      <c r="A129" s="86">
        <f t="shared" ca="1" si="14"/>
        <v>6.6656350256332417E-2</v>
      </c>
      <c r="B129" s="86">
        <f t="shared" ca="1" si="14"/>
        <v>0.91304715430703576</v>
      </c>
      <c r="G129" s="86">
        <f t="shared" ca="1" si="9"/>
        <v>6.6656350256332417E-2</v>
      </c>
      <c r="H129" s="86">
        <f t="shared" ca="1" si="10"/>
        <v>0.87409146521286907</v>
      </c>
      <c r="O129" s="86">
        <f t="shared" ca="1" si="16"/>
        <v>94.491243798199363</v>
      </c>
      <c r="P129" s="86">
        <f t="shared" ca="1" si="16"/>
        <v>70.65131240342005</v>
      </c>
      <c r="Q129" s="86">
        <f t="shared" ca="1" si="12"/>
        <v>-1.2847153239438126E-3</v>
      </c>
      <c r="R129" s="86">
        <f t="shared" ca="1" si="12"/>
        <v>-1.6604719480319038E-2</v>
      </c>
    </row>
    <row r="130" spans="1:18">
      <c r="A130" s="86">
        <f t="shared" ca="1" si="14"/>
        <v>1.2035352490820628</v>
      </c>
      <c r="B130" s="86">
        <f t="shared" ca="1" si="14"/>
        <v>-1.5879792035886164</v>
      </c>
      <c r="G130" s="86">
        <f t="shared" ca="1" si="9"/>
        <v>1.2035352490820628</v>
      </c>
      <c r="H130" s="86">
        <f t="shared" ca="1" si="10"/>
        <v>-1.0373031280053195</v>
      </c>
      <c r="O130" s="86">
        <f t="shared" ca="1" si="16"/>
        <v>96.675755061919403</v>
      </c>
      <c r="P130" s="86">
        <f t="shared" ca="1" si="16"/>
        <v>69.275772509613603</v>
      </c>
      <c r="Q130" s="86">
        <f t="shared" ca="1" si="12"/>
        <v>-2.2855475788384341E-2</v>
      </c>
      <c r="R130" s="86">
        <f t="shared" ca="1" si="12"/>
        <v>1.9661443051083922E-2</v>
      </c>
    </row>
    <row r="131" spans="1:18">
      <c r="A131" s="86">
        <f t="shared" ca="1" si="14"/>
        <v>1.1236226139405334</v>
      </c>
      <c r="B131" s="86">
        <f t="shared" ca="1" si="14"/>
        <v>-1.3588952522327322</v>
      </c>
      <c r="G131" s="86">
        <f t="shared" ref="G131:G194" ca="1" si="17">A131</f>
        <v>1.1236226139405334</v>
      </c>
      <c r="H131" s="86">
        <f t="shared" ref="H131:H194" ca="1" si="18">$K$1*G131+SQRT(1-$K$1^2)*B131</f>
        <v>-0.85336222532056139</v>
      </c>
      <c r="O131" s="86">
        <f t="shared" ca="1" si="16"/>
        <v>98.760910911243599</v>
      </c>
      <c r="P131" s="86">
        <f t="shared" ca="1" si="16"/>
        <v>68.164495280228266</v>
      </c>
      <c r="Q131" s="86">
        <f t="shared" ca="1" si="12"/>
        <v>-2.1339240143144866E-2</v>
      </c>
      <c r="R131" s="86">
        <f t="shared" ca="1" si="12"/>
        <v>1.6171409806976893E-2</v>
      </c>
    </row>
    <row r="132" spans="1:18">
      <c r="A132" s="86">
        <f t="shared" ca="1" si="14"/>
        <v>-0.520562518134848</v>
      </c>
      <c r="B132" s="86">
        <f t="shared" ca="1" si="14"/>
        <v>0.2371904629464803</v>
      </c>
      <c r="G132" s="86">
        <f t="shared" ca="1" si="17"/>
        <v>-0.520562518134848</v>
      </c>
      <c r="H132" s="86">
        <f t="shared" ca="1" si="18"/>
        <v>3.0207085581288373E-2</v>
      </c>
      <c r="O132" s="86">
        <f t="shared" ref="O132:P147" ca="1" si="19">O131*EXP((0.05-0.3^2/2)*1/250+0.3*SQRT(1/250)*G132)</f>
        <v>97.79220873560017</v>
      </c>
      <c r="P132" s="86">
        <f t="shared" ca="1" si="19"/>
        <v>68.204938304104232</v>
      </c>
      <c r="Q132" s="86">
        <f t="shared" ref="Q132:R195" ca="1" si="20">LN(O131/O132)</f>
        <v>9.8569793309129586E-3</v>
      </c>
      <c r="R132" s="86">
        <f t="shared" ca="1" si="20"/>
        <v>-5.9313915147497288E-4</v>
      </c>
    </row>
    <row r="133" spans="1:18">
      <c r="A133" s="86">
        <f t="shared" ca="1" si="14"/>
        <v>0.26740365135074362</v>
      </c>
      <c r="B133" s="86">
        <f t="shared" ca="1" si="14"/>
        <v>0.24333220323232685</v>
      </c>
      <c r="G133" s="86">
        <f t="shared" ca="1" si="17"/>
        <v>0.26740365135074362</v>
      </c>
      <c r="H133" s="86">
        <f t="shared" ca="1" si="18"/>
        <v>0.32431829833103304</v>
      </c>
      <c r="O133" s="86">
        <f t="shared" ca="1" si="19"/>
        <v>98.291596593079916</v>
      </c>
      <c r="P133" s="86">
        <f t="shared" ca="1" si="19"/>
        <v>68.627304370591915</v>
      </c>
      <c r="Q133" s="86">
        <f t="shared" ca="1" si="20"/>
        <v>-5.0936275574833441E-3</v>
      </c>
      <c r="R133" s="86">
        <f t="shared" ca="1" si="20"/>
        <v>-6.1735070575764878E-3</v>
      </c>
    </row>
    <row r="134" spans="1:18">
      <c r="A134" s="86">
        <f t="shared" ca="1" si="14"/>
        <v>-7.2797879371961541E-2</v>
      </c>
      <c r="B134" s="86">
        <f t="shared" ca="1" si="14"/>
        <v>-1.416359327596743</v>
      </c>
      <c r="G134" s="86">
        <f t="shared" ca="1" si="17"/>
        <v>-7.2797879371961541E-2</v>
      </c>
      <c r="H134" s="86">
        <f t="shared" ca="1" si="18"/>
        <v>-1.3447290477778253</v>
      </c>
      <c r="O134" s="86">
        <f t="shared" ca="1" si="19"/>
        <v>98.157888905016449</v>
      </c>
      <c r="P134" s="86">
        <f t="shared" ca="1" si="19"/>
        <v>66.899804086438536</v>
      </c>
      <c r="Q134" s="86">
        <f t="shared" ca="1" si="20"/>
        <v>1.3612426458734462E-3</v>
      </c>
      <c r="R134" s="86">
        <f t="shared" ca="1" si="20"/>
        <v>2.5494439760603921E-2</v>
      </c>
    </row>
    <row r="135" spans="1:18">
      <c r="A135" s="86">
        <f t="shared" ca="1" si="14"/>
        <v>-0.80315089636252579</v>
      </c>
      <c r="B135" s="86">
        <f t="shared" ca="1" si="14"/>
        <v>-0.49877402584203301</v>
      </c>
      <c r="G135" s="86">
        <f t="shared" ca="1" si="17"/>
        <v>-0.80315089636252579</v>
      </c>
      <c r="H135" s="86">
        <f t="shared" ca="1" si="18"/>
        <v>-0.75811974356868572</v>
      </c>
      <c r="O135" s="86">
        <f t="shared" ca="1" si="19"/>
        <v>96.675361486051528</v>
      </c>
      <c r="P135" s="86">
        <f t="shared" ca="1" si="19"/>
        <v>65.945703414356544</v>
      </c>
      <c r="Q135" s="86">
        <f t="shared" ca="1" si="20"/>
        <v>1.521871682386851E-2</v>
      </c>
      <c r="R135" s="86">
        <f t="shared" ca="1" si="20"/>
        <v>1.4364310772919036E-2</v>
      </c>
    </row>
    <row r="136" spans="1:18">
      <c r="A136" s="86">
        <f t="shared" ca="1" si="14"/>
        <v>1.4327072185523893E-2</v>
      </c>
      <c r="B136" s="86">
        <f t="shared" ca="1" si="14"/>
        <v>0.1404101358876102</v>
      </c>
      <c r="G136" s="86">
        <f t="shared" ca="1" si="17"/>
        <v>1.4327072185523893E-2</v>
      </c>
      <c r="H136" s="86">
        <f t="shared" ca="1" si="18"/>
        <v>0.13591146603981216</v>
      </c>
      <c r="O136" s="86">
        <f t="shared" ca="1" si="19"/>
        <v>96.70357905870091</v>
      </c>
      <c r="P136" s="86">
        <f t="shared" ca="1" si="19"/>
        <v>66.117301942971238</v>
      </c>
      <c r="Q136" s="86">
        <f t="shared" ca="1" si="20"/>
        <v>-2.9183708184727004E-4</v>
      </c>
      <c r="R136" s="86">
        <f t="shared" ca="1" si="20"/>
        <v>-2.5987387569106303E-3</v>
      </c>
    </row>
    <row r="137" spans="1:18">
      <c r="A137" s="86">
        <f t="shared" ca="1" si="14"/>
        <v>0.19299659537206346</v>
      </c>
      <c r="B137" s="86">
        <f t="shared" ca="1" si="14"/>
        <v>0.23119224757132803</v>
      </c>
      <c r="G137" s="86">
        <f t="shared" ca="1" si="17"/>
        <v>0.19299659537206346</v>
      </c>
      <c r="H137" s="86">
        <f t="shared" ca="1" si="18"/>
        <v>0.28578769282011079</v>
      </c>
      <c r="O137" s="86">
        <f t="shared" ca="1" si="19"/>
        <v>97.060283678829919</v>
      </c>
      <c r="P137" s="86">
        <f t="shared" ca="1" si="19"/>
        <v>66.4781223874799</v>
      </c>
      <c r="Q137" s="86">
        <f t="shared" ca="1" si="20"/>
        <v>-3.6818529322017075E-3</v>
      </c>
      <c r="R137" s="86">
        <f t="shared" ca="1" si="20"/>
        <v>-5.4424402193366224E-3</v>
      </c>
    </row>
    <row r="138" spans="1:18">
      <c r="A138" s="86">
        <f t="shared" ca="1" si="14"/>
        <v>2.3000921260503917</v>
      </c>
      <c r="B138" s="86">
        <f t="shared" ca="1" si="14"/>
        <v>1.1156743641377111</v>
      </c>
      <c r="G138" s="86">
        <f t="shared" ca="1" si="17"/>
        <v>2.3000921260503917</v>
      </c>
      <c r="H138" s="86">
        <f t="shared" ca="1" si="18"/>
        <v>1.8800968497404431</v>
      </c>
      <c r="O138" s="86">
        <f t="shared" ca="1" si="19"/>
        <v>101.39192434000198</v>
      </c>
      <c r="P138" s="86">
        <f t="shared" ca="1" si="19"/>
        <v>68.893734412875148</v>
      </c>
      <c r="Q138" s="86">
        <f t="shared" ca="1" si="20"/>
        <v>-4.3661179679230132E-2</v>
      </c>
      <c r="R138" s="86">
        <f t="shared" ca="1" si="20"/>
        <v>-3.5692329601322882E-2</v>
      </c>
    </row>
    <row r="139" spans="1:18">
      <c r="A139" s="86">
        <f t="shared" ca="1" si="14"/>
        <v>-0.86725052097547917</v>
      </c>
      <c r="B139" s="86">
        <f t="shared" ca="1" si="14"/>
        <v>7.5524384097301932E-3</v>
      </c>
      <c r="G139" s="86">
        <f t="shared" ca="1" si="17"/>
        <v>-0.86725052097547917</v>
      </c>
      <c r="H139" s="86">
        <f t="shared" ca="1" si="18"/>
        <v>-0.31038527933532672</v>
      </c>
      <c r="O139" s="86">
        <f t="shared" ca="1" si="19"/>
        <v>99.73917461110004</v>
      </c>
      <c r="P139" s="86">
        <f t="shared" ca="1" si="19"/>
        <v>68.490571254293599</v>
      </c>
      <c r="Q139" s="86">
        <f t="shared" ca="1" si="20"/>
        <v>1.6434921689500948E-2</v>
      </c>
      <c r="R139" s="86">
        <f t="shared" ca="1" si="20"/>
        <v>5.869146609323455E-3</v>
      </c>
    </row>
    <row r="140" spans="1:18">
      <c r="A140" s="86">
        <f t="shared" ca="1" si="14"/>
        <v>-1.7282942866728133</v>
      </c>
      <c r="B140" s="86">
        <f t="shared" ca="1" si="14"/>
        <v>0.27614518552600942</v>
      </c>
      <c r="G140" s="86">
        <f t="shared" ca="1" si="17"/>
        <v>-1.7282942866728133</v>
      </c>
      <c r="H140" s="86">
        <f t="shared" ca="1" si="18"/>
        <v>-0.37557089837338536</v>
      </c>
      <c r="O140" s="86">
        <f t="shared" ca="1" si="19"/>
        <v>96.523494612735703</v>
      </c>
      <c r="P140" s="86">
        <f t="shared" ca="1" si="19"/>
        <v>68.005605329905791</v>
      </c>
      <c r="Q140" s="86">
        <f t="shared" ca="1" si="20"/>
        <v>3.2772078477652539E-2</v>
      </c>
      <c r="R140" s="86">
        <f t="shared" ca="1" si="20"/>
        <v>7.1059567704130303E-3</v>
      </c>
    </row>
    <row r="141" spans="1:18">
      <c r="A141" s="86">
        <f t="shared" ca="1" si="14"/>
        <v>0.29891693752627296</v>
      </c>
      <c r="B141" s="86">
        <f t="shared" ca="1" si="14"/>
        <v>1.2285249852663622</v>
      </c>
      <c r="G141" s="86">
        <f t="shared" ca="1" si="17"/>
        <v>0.29891693752627296</v>
      </c>
      <c r="H141" s="86">
        <f t="shared" ca="1" si="18"/>
        <v>1.2526871946528373</v>
      </c>
      <c r="O141" s="86">
        <f t="shared" ca="1" si="19"/>
        <v>97.074429269213738</v>
      </c>
      <c r="P141" s="86">
        <f t="shared" ca="1" si="19"/>
        <v>69.642722043043989</v>
      </c>
      <c r="Q141" s="86">
        <f t="shared" ca="1" si="20"/>
        <v>-5.691550122711839E-3</v>
      </c>
      <c r="R141" s="86">
        <f t="shared" ca="1" si="20"/>
        <v>-2.3788068384977993E-2</v>
      </c>
    </row>
    <row r="142" spans="1:18">
      <c r="A142" s="86">
        <f t="shared" ca="1" si="14"/>
        <v>-1.3753475663809154</v>
      </c>
      <c r="B142" s="86">
        <f t="shared" ca="1" si="14"/>
        <v>0.1029604663642906</v>
      </c>
      <c r="G142" s="86">
        <f t="shared" ca="1" si="17"/>
        <v>-1.3753475663809154</v>
      </c>
      <c r="H142" s="86">
        <f t="shared" ca="1" si="18"/>
        <v>-0.40756067028080378</v>
      </c>
      <c r="O142" s="86">
        <f t="shared" ca="1" si="19"/>
        <v>94.575892839487622</v>
      </c>
      <c r="P142" s="86">
        <f t="shared" ca="1" si="19"/>
        <v>69.107639475331197</v>
      </c>
      <c r="Q142" s="86">
        <f t="shared" ca="1" si="20"/>
        <v>2.6075385304799865E-2</v>
      </c>
      <c r="R142" s="86">
        <f t="shared" ca="1" si="20"/>
        <v>7.712920016753581E-3</v>
      </c>
    </row>
    <row r="143" spans="1:18">
      <c r="A143" s="86">
        <f t="shared" ca="1" si="14"/>
        <v>-0.55946553788335474</v>
      </c>
      <c r="B143" s="86">
        <f t="shared" ca="1" si="14"/>
        <v>-1.2434039349772776</v>
      </c>
      <c r="G143" s="86">
        <f t="shared" ca="1" si="17"/>
        <v>-0.55946553788335474</v>
      </c>
      <c r="H143" s="86">
        <f t="shared" ca="1" si="18"/>
        <v>-1.3618945539445806</v>
      </c>
      <c r="O143" s="86">
        <f t="shared" ca="1" si="19"/>
        <v>93.579140317089823</v>
      </c>
      <c r="P143" s="86">
        <f t="shared" ca="1" si="19"/>
        <v>67.34611039875081</v>
      </c>
      <c r="Q143" s="86">
        <f t="shared" ca="1" si="20"/>
        <v>1.0595112232495716E-2</v>
      </c>
      <c r="R143" s="86">
        <f t="shared" ca="1" si="20"/>
        <v>2.5820132340663628E-2</v>
      </c>
    </row>
    <row r="144" spans="1:18">
      <c r="A144" s="86">
        <f t="shared" ca="1" si="14"/>
        <v>-1.6371468508016411</v>
      </c>
      <c r="B144" s="86">
        <f t="shared" ca="1" si="14"/>
        <v>-0.69187102660863153</v>
      </c>
      <c r="G144" s="86">
        <f t="shared" ca="1" si="17"/>
        <v>-1.6371468508016411</v>
      </c>
      <c r="H144" s="86">
        <f t="shared" ca="1" si="18"/>
        <v>-1.2430611993968028</v>
      </c>
      <c r="O144" s="86">
        <f t="shared" ca="1" si="19"/>
        <v>90.718818954015646</v>
      </c>
      <c r="P144" s="86">
        <f t="shared" ca="1" si="19"/>
        <v>65.77762409569813</v>
      </c>
      <c r="Q144" s="86">
        <f t="shared" ca="1" si="20"/>
        <v>3.1042677476230355E-2</v>
      </c>
      <c r="R144" s="86">
        <f t="shared" ca="1" si="20"/>
        <v>2.3565427966447568E-2</v>
      </c>
    </row>
    <row r="145" spans="1:18">
      <c r="A145" s="86">
        <f t="shared" ca="1" si="14"/>
        <v>0.61394936654072929</v>
      </c>
      <c r="B145" s="86">
        <f t="shared" ca="1" si="14"/>
        <v>0.26477078439443669</v>
      </c>
      <c r="G145" s="86">
        <f t="shared" ca="1" si="17"/>
        <v>0.61394936654072929</v>
      </c>
      <c r="H145" s="86">
        <f t="shared" ca="1" si="18"/>
        <v>0.47110509209400919</v>
      </c>
      <c r="O145" s="86">
        <f t="shared" ca="1" si="19"/>
        <v>91.783605422450165</v>
      </c>
      <c r="P145" s="86">
        <f t="shared" ca="1" si="19"/>
        <v>66.369546339648295</v>
      </c>
      <c r="Q145" s="86">
        <f t="shared" ca="1" si="20"/>
        <v>-1.1668870197717602E-2</v>
      </c>
      <c r="R145" s="86">
        <f t="shared" ca="1" si="20"/>
        <v>-8.958590649922854E-3</v>
      </c>
    </row>
    <row r="146" spans="1:18">
      <c r="A146" s="86">
        <f t="shared" ca="1" si="14"/>
        <v>-5.4901170125116652E-2</v>
      </c>
      <c r="B146" s="86">
        <f t="shared" ca="1" si="14"/>
        <v>0.72688665818656362</v>
      </c>
      <c r="G146" s="86">
        <f t="shared" ca="1" si="17"/>
        <v>-5.4901170125116652E-2</v>
      </c>
      <c r="H146" s="86">
        <f t="shared" ca="1" si="18"/>
        <v>0.65635769048421289</v>
      </c>
      <c r="O146" s="86">
        <f t="shared" ca="1" si="19"/>
        <v>91.689880159717219</v>
      </c>
      <c r="P146" s="86">
        <f t="shared" ca="1" si="19"/>
        <v>67.202592347328718</v>
      </c>
      <c r="Q146" s="86">
        <f t="shared" ca="1" si="20"/>
        <v>1.0216764628226335E-3</v>
      </c>
      <c r="R146" s="86">
        <f t="shared" ca="1" si="20"/>
        <v>-1.2473511570187451E-2</v>
      </c>
    </row>
    <row r="147" spans="1:18">
      <c r="A147" s="86">
        <f t="shared" ca="1" si="14"/>
        <v>-0.9955451503246967</v>
      </c>
      <c r="B147" s="86">
        <f t="shared" ca="1" si="14"/>
        <v>-0.6695272985749755</v>
      </c>
      <c r="G147" s="86">
        <f t="shared" ca="1" si="17"/>
        <v>-0.9955451503246967</v>
      </c>
      <c r="H147" s="86">
        <f t="shared" ca="1" si="18"/>
        <v>-0.98744157189824122</v>
      </c>
      <c r="O147" s="86">
        <f t="shared" ca="1" si="19"/>
        <v>89.975991525343218</v>
      </c>
      <c r="P147" s="86">
        <f t="shared" ca="1" si="19"/>
        <v>65.956566155692116</v>
      </c>
      <c r="Q147" s="86">
        <f t="shared" ca="1" si="20"/>
        <v>1.8869141131364547E-2</v>
      </c>
      <c r="R147" s="86">
        <f t="shared" ca="1" si="20"/>
        <v>1.8715386541212208E-2</v>
      </c>
    </row>
    <row r="148" spans="1:18">
      <c r="A148" s="86">
        <f t="shared" ca="1" si="14"/>
        <v>1.454021364847361</v>
      </c>
      <c r="B148" s="86">
        <f t="shared" ca="1" si="14"/>
        <v>0.48290214349076727</v>
      </c>
      <c r="G148" s="86">
        <f t="shared" ca="1" si="17"/>
        <v>1.454021364847361</v>
      </c>
      <c r="H148" s="86">
        <f t="shared" ca="1" si="18"/>
        <v>0.98156772561241246</v>
      </c>
      <c r="O148" s="86">
        <f t="shared" ref="O148:P163" ca="1" si="21">O147*EXP((0.05-0.3^2/2)*1/250+0.3*SQRT(1/250)*G148)</f>
        <v>92.49466707291036</v>
      </c>
      <c r="P148" s="86">
        <f t="shared" ca="1" si="21"/>
        <v>67.197791001335119</v>
      </c>
      <c r="Q148" s="86">
        <f t="shared" ca="1" si="20"/>
        <v>-2.7608115676785918E-2</v>
      </c>
      <c r="R148" s="86">
        <f t="shared" ca="1" si="20"/>
        <v>-1.8643938143878512E-2</v>
      </c>
    </row>
    <row r="149" spans="1:18">
      <c r="A149" s="86">
        <f t="shared" ca="1" si="14"/>
        <v>7.7063807220520225E-2</v>
      </c>
      <c r="B149" s="86">
        <f t="shared" ca="1" si="14"/>
        <v>-0.84224962047319363</v>
      </c>
      <c r="G149" s="86">
        <f t="shared" ca="1" si="17"/>
        <v>7.7063807220520225E-2</v>
      </c>
      <c r="H149" s="86">
        <f t="shared" ca="1" si="18"/>
        <v>-0.75560465121069353</v>
      </c>
      <c r="O149" s="86">
        <f t="shared" ca="1" si="21"/>
        <v>92.631862739527534</v>
      </c>
      <c r="P149" s="86">
        <f t="shared" ca="1" si="21"/>
        <v>66.242601604381449</v>
      </c>
      <c r="Q149" s="86">
        <f t="shared" ca="1" si="20"/>
        <v>-1.4821829358859326E-3</v>
      </c>
      <c r="R149" s="86">
        <f t="shared" ca="1" si="20"/>
        <v>1.4316590250657344E-2</v>
      </c>
    </row>
    <row r="150" spans="1:18">
      <c r="A150" s="86">
        <f t="shared" ca="1" si="14"/>
        <v>-1.5121426945427934</v>
      </c>
      <c r="B150" s="86">
        <f t="shared" ca="1" si="14"/>
        <v>-1.6868583059971929</v>
      </c>
      <c r="G150" s="86">
        <f t="shared" ca="1" si="17"/>
        <v>-1.5121426945427934</v>
      </c>
      <c r="H150" s="86">
        <f t="shared" ca="1" si="18"/>
        <v>-2.123259616479082</v>
      </c>
      <c r="O150" s="86">
        <f t="shared" ca="1" si="21"/>
        <v>90.01373611232637</v>
      </c>
      <c r="P150" s="86">
        <f t="shared" ca="1" si="21"/>
        <v>63.628263483235692</v>
      </c>
      <c r="Q150" s="86">
        <f t="shared" ca="1" si="20"/>
        <v>2.8670890371636813E-2</v>
      </c>
      <c r="R150" s="86">
        <f t="shared" ca="1" si="20"/>
        <v>4.026601871157684E-2</v>
      </c>
    </row>
    <row r="151" spans="1:18">
      <c r="A151" s="86">
        <f t="shared" ca="1" si="14"/>
        <v>4.4714176143709025E-2</v>
      </c>
      <c r="B151" s="86">
        <f t="shared" ca="1" si="14"/>
        <v>-0.49378374013241949</v>
      </c>
      <c r="G151" s="86">
        <f t="shared" ca="1" si="17"/>
        <v>4.4714176143709025E-2</v>
      </c>
      <c r="H151" s="86">
        <f t="shared" ca="1" si="18"/>
        <v>-0.44315709304172213</v>
      </c>
      <c r="O151" s="86">
        <f t="shared" ca="1" si="21"/>
        <v>90.091937256126116</v>
      </c>
      <c r="P151" s="86">
        <f t="shared" ca="1" si="21"/>
        <v>63.096761906171444</v>
      </c>
      <c r="Q151" s="86">
        <f t="shared" ca="1" si="20"/>
        <v>-8.6839184187258785E-4</v>
      </c>
      <c r="R151" s="86">
        <f t="shared" ca="1" si="20"/>
        <v>8.3883146516259329E-3</v>
      </c>
    </row>
    <row r="152" spans="1:18">
      <c r="A152" s="86">
        <f t="shared" ca="1" si="14"/>
        <v>1.0719452969719843</v>
      </c>
      <c r="B152" s="86">
        <f t="shared" ca="1" si="14"/>
        <v>1.0934021126060487</v>
      </c>
      <c r="G152" s="86">
        <f t="shared" ca="1" si="17"/>
        <v>1.0719452969719843</v>
      </c>
      <c r="H152" s="86">
        <f t="shared" ca="1" si="18"/>
        <v>1.4098682222679642</v>
      </c>
      <c r="O152" s="86">
        <f t="shared" ca="1" si="21"/>
        <v>91.944892773533184</v>
      </c>
      <c r="P152" s="86">
        <f t="shared" ca="1" si="21"/>
        <v>64.808697826565165</v>
      </c>
      <c r="Q152" s="86">
        <f t="shared" ca="1" si="20"/>
        <v>-2.0358731993222526E-2</v>
      </c>
      <c r="R152" s="86">
        <f t="shared" ca="1" si="20"/>
        <v>-2.677036869835563E-2</v>
      </c>
    </row>
    <row r="153" spans="1:18">
      <c r="A153" s="86">
        <f t="shared" ca="1" si="14"/>
        <v>-1.2387318909703395</v>
      </c>
      <c r="B153" s="86">
        <f t="shared" ca="1" si="14"/>
        <v>0.26020472778064113</v>
      </c>
      <c r="G153" s="86">
        <f t="shared" ca="1" si="17"/>
        <v>-1.2387318909703395</v>
      </c>
      <c r="H153" s="86">
        <f t="shared" ca="1" si="18"/>
        <v>-0.21122548824813461</v>
      </c>
      <c r="O153" s="86">
        <f t="shared" ca="1" si="21"/>
        <v>89.81087953092478</v>
      </c>
      <c r="P153" s="86">
        <f t="shared" ca="1" si="21"/>
        <v>64.550773373034247</v>
      </c>
      <c r="Q153" s="86">
        <f t="shared" ca="1" si="20"/>
        <v>2.3483285114521708E-2</v>
      </c>
      <c r="R153" s="86">
        <f t="shared" ca="1" si="20"/>
        <v>3.9877218564715504E-3</v>
      </c>
    </row>
    <row r="154" spans="1:18">
      <c r="A154" s="86">
        <f t="shared" ca="1" si="14"/>
        <v>0.93666519224037226</v>
      </c>
      <c r="B154" s="86">
        <f t="shared" ca="1" si="14"/>
        <v>0.73781777075213073</v>
      </c>
      <c r="G154" s="86">
        <f t="shared" ca="1" si="17"/>
        <v>0.93666519224037226</v>
      </c>
      <c r="H154" s="86">
        <f t="shared" ca="1" si="18"/>
        <v>1.0294436347961553</v>
      </c>
      <c r="O154" s="86">
        <f t="shared" ca="1" si="21"/>
        <v>91.423091917515691</v>
      </c>
      <c r="P154" s="86">
        <f t="shared" ca="1" si="21"/>
        <v>65.825310199913019</v>
      </c>
      <c r="Q154" s="86">
        <f t="shared" ca="1" si="20"/>
        <v>-1.7791972474874421E-2</v>
      </c>
      <c r="R154" s="86">
        <f t="shared" ca="1" si="20"/>
        <v>-1.9552319652310492E-2</v>
      </c>
    </row>
    <row r="155" spans="1:18">
      <c r="A155" s="86">
        <f t="shared" ca="1" si="14"/>
        <v>0.39039498811823736</v>
      </c>
      <c r="B155" s="86">
        <f t="shared" ca="1" si="14"/>
        <v>-0.34790184373662891</v>
      </c>
      <c r="G155" s="86">
        <f t="shared" ca="1" si="17"/>
        <v>0.39039498811823736</v>
      </c>
      <c r="H155" s="86">
        <f t="shared" ca="1" si="18"/>
        <v>-0.18087805665175746</v>
      </c>
      <c r="O155" s="86">
        <f t="shared" ca="1" si="21"/>
        <v>92.104639579421743</v>
      </c>
      <c r="P155" s="86">
        <f t="shared" ca="1" si="21"/>
        <v>65.601102226270015</v>
      </c>
      <c r="Q155" s="86">
        <f t="shared" ca="1" si="20"/>
        <v>-7.4272240974079971E-3</v>
      </c>
      <c r="R155" s="86">
        <f t="shared" ca="1" si="20"/>
        <v>3.4119198265871037E-3</v>
      </c>
    </row>
    <row r="156" spans="1:18">
      <c r="A156" s="86">
        <f t="shared" ref="A156:B219" ca="1" si="22">_xlfn.NORM.S.INV(RAND())</f>
        <v>-0.55683852570321979</v>
      </c>
      <c r="B156" s="86">
        <f t="shared" ca="1" si="22"/>
        <v>0.91766914821601753</v>
      </c>
      <c r="G156" s="86">
        <f t="shared" ca="1" si="17"/>
        <v>-0.55683852570321979</v>
      </c>
      <c r="H156" s="86">
        <f t="shared" ca="1" si="18"/>
        <v>0.65019363678236364</v>
      </c>
      <c r="O156" s="86">
        <f t="shared" ca="1" si="21"/>
        <v>91.138474641864732</v>
      </c>
      <c r="P156" s="86">
        <f t="shared" ca="1" si="21"/>
        <v>66.416734804269396</v>
      </c>
      <c r="Q156" s="86">
        <f t="shared" ca="1" si="20"/>
        <v>1.0545268180914478E-2</v>
      </c>
      <c r="R156" s="86">
        <f t="shared" ca="1" si="20"/>
        <v>-1.2356556874283178E-2</v>
      </c>
    </row>
    <row r="157" spans="1:18">
      <c r="A157" s="86">
        <f t="shared" ca="1" si="22"/>
        <v>0.89821440557430399</v>
      </c>
      <c r="B157" s="86">
        <f t="shared" ca="1" si="22"/>
        <v>1.432787357089915</v>
      </c>
      <c r="G157" s="86">
        <f t="shared" ca="1" si="17"/>
        <v>0.89821440557430399</v>
      </c>
      <c r="H157" s="86">
        <f t="shared" ca="1" si="18"/>
        <v>1.6621196645789351</v>
      </c>
      <c r="O157" s="86">
        <f t="shared" ca="1" si="21"/>
        <v>92.706859756011738</v>
      </c>
      <c r="P157" s="86">
        <f t="shared" ca="1" si="21"/>
        <v>68.546034648520035</v>
      </c>
      <c r="Q157" s="86">
        <f t="shared" ca="1" si="20"/>
        <v>-1.7062420092734312E-2</v>
      </c>
      <c r="R157" s="86">
        <f t="shared" ca="1" si="20"/>
        <v>-3.1556503302947188E-2</v>
      </c>
    </row>
    <row r="158" spans="1:18">
      <c r="A158" s="86">
        <f t="shared" ca="1" si="22"/>
        <v>0.90831622303311921</v>
      </c>
      <c r="B158" s="86">
        <f t="shared" ca="1" si="22"/>
        <v>7.5437880967307497E-2</v>
      </c>
      <c r="G158" s="86">
        <f t="shared" ca="1" si="17"/>
        <v>0.90831622303311921</v>
      </c>
      <c r="H158" s="86">
        <f t="shared" ca="1" si="18"/>
        <v>0.40264734994971912</v>
      </c>
      <c r="O158" s="86">
        <f t="shared" ca="1" si="21"/>
        <v>94.320311419983724</v>
      </c>
      <c r="P158" s="86">
        <f t="shared" ca="1" si="21"/>
        <v>69.073092432102698</v>
      </c>
      <c r="Q158" s="86">
        <f t="shared" ca="1" si="20"/>
        <v>-1.7254088602796952E-2</v>
      </c>
      <c r="R158" s="86">
        <f t="shared" ca="1" si="20"/>
        <v>-7.6596963180320093E-3</v>
      </c>
    </row>
    <row r="159" spans="1:18">
      <c r="A159" s="86">
        <f t="shared" ca="1" si="22"/>
        <v>-0.18146195849639482</v>
      </c>
      <c r="B159" s="86">
        <f t="shared" ca="1" si="22"/>
        <v>0.55773255074015471</v>
      </c>
      <c r="G159" s="86">
        <f t="shared" ca="1" si="17"/>
        <v>-0.18146195849639482</v>
      </c>
      <c r="H159" s="86">
        <f t="shared" ca="1" si="18"/>
        <v>0.45261911752500117</v>
      </c>
      <c r="O159" s="86">
        <f t="shared" ca="1" si="21"/>
        <v>93.998005069237394</v>
      </c>
      <c r="P159" s="86">
        <f t="shared" ca="1" si="21"/>
        <v>69.670229175336701</v>
      </c>
      <c r="Q159" s="86">
        <f t="shared" ca="1" si="20"/>
        <v>3.4229985851413364E-3</v>
      </c>
      <c r="R159" s="86">
        <f t="shared" ca="1" si="20"/>
        <v>-8.607843943486548E-3</v>
      </c>
    </row>
    <row r="160" spans="1:18">
      <c r="A160" s="86">
        <f t="shared" ca="1" si="22"/>
        <v>0.6844448313914393</v>
      </c>
      <c r="B160" s="86">
        <f t="shared" ca="1" si="22"/>
        <v>6.9710128649034739E-2</v>
      </c>
      <c r="G160" s="86">
        <f t="shared" ca="1" si="17"/>
        <v>0.6844448313914393</v>
      </c>
      <c r="H160" s="86">
        <f t="shared" ca="1" si="18"/>
        <v>0.31538008924140504</v>
      </c>
      <c r="O160" s="86">
        <f t="shared" ca="1" si="21"/>
        <v>95.228568586793571</v>
      </c>
      <c r="P160" s="86">
        <f t="shared" ca="1" si="21"/>
        <v>70.089781629979214</v>
      </c>
      <c r="Q160" s="86">
        <f t="shared" ca="1" si="20"/>
        <v>-1.3006427599561249E-2</v>
      </c>
      <c r="R160" s="86">
        <f t="shared" ca="1" si="20"/>
        <v>-6.0039164640198761E-3</v>
      </c>
    </row>
    <row r="161" spans="1:18">
      <c r="A161" s="86">
        <f t="shared" ca="1" si="22"/>
        <v>1.0427233343070117</v>
      </c>
      <c r="B161" s="86">
        <f t="shared" ca="1" si="22"/>
        <v>0.81005529078286309</v>
      </c>
      <c r="G161" s="86">
        <f t="shared" ca="1" si="17"/>
        <v>1.0427233343070117</v>
      </c>
      <c r="H161" s="86">
        <f t="shared" ca="1" si="18"/>
        <v>1.1354862236975563</v>
      </c>
      <c r="O161" s="86">
        <f t="shared" ca="1" si="21"/>
        <v>97.133300902322631</v>
      </c>
      <c r="P161" s="86">
        <f t="shared" ca="1" si="21"/>
        <v>71.617635625254721</v>
      </c>
      <c r="Q161" s="86">
        <f t="shared" ca="1" si="20"/>
        <v>-1.9804284234892069E-2</v>
      </c>
      <c r="R161" s="86">
        <f t="shared" ca="1" si="20"/>
        <v>-2.1564336311766508E-2</v>
      </c>
    </row>
    <row r="162" spans="1:18">
      <c r="A162" s="86">
        <f t="shared" ca="1" si="22"/>
        <v>-7.410640368436619E-2</v>
      </c>
      <c r="B162" s="86">
        <f t="shared" ca="1" si="22"/>
        <v>-2.508229009030396</v>
      </c>
      <c r="G162" s="86">
        <f t="shared" ca="1" si="17"/>
        <v>-7.410640368436619E-2</v>
      </c>
      <c r="H162" s="86">
        <f t="shared" ca="1" si="18"/>
        <v>-2.3613181080459591</v>
      </c>
      <c r="O162" s="86">
        <f t="shared" ca="1" si="21"/>
        <v>96.998760596151328</v>
      </c>
      <c r="P162" s="86">
        <f t="shared" ca="1" si="21"/>
        <v>68.481147625527015</v>
      </c>
      <c r="Q162" s="86">
        <f t="shared" ca="1" si="20"/>
        <v>1.386070149078945E-3</v>
      </c>
      <c r="R162" s="86">
        <f t="shared" ca="1" si="20"/>
        <v>4.4782861009748952E-2</v>
      </c>
    </row>
    <row r="163" spans="1:18">
      <c r="A163" s="86">
        <f t="shared" ca="1" si="22"/>
        <v>2.6480259498833942</v>
      </c>
      <c r="B163" s="86">
        <f t="shared" ca="1" si="22"/>
        <v>1.4408876997321516</v>
      </c>
      <c r="G163" s="86">
        <f t="shared" ca="1" si="17"/>
        <v>2.6480259498833942</v>
      </c>
      <c r="H163" s="86">
        <f t="shared" ca="1" si="18"/>
        <v>2.3100889889531917</v>
      </c>
      <c r="O163" s="86">
        <f t="shared" ca="1" si="21"/>
        <v>101.99879106311823</v>
      </c>
      <c r="P163" s="86">
        <f t="shared" ca="1" si="21"/>
        <v>71.550918783566473</v>
      </c>
      <c r="Q163" s="86">
        <f t="shared" ca="1" si="20"/>
        <v>-5.0262759829174476E-2</v>
      </c>
      <c r="R163" s="86">
        <f t="shared" ca="1" si="20"/>
        <v>-4.3850856816606047E-2</v>
      </c>
    </row>
    <row r="164" spans="1:18">
      <c r="A164" s="86">
        <f t="shared" ca="1" si="22"/>
        <v>-1.0966606391444789</v>
      </c>
      <c r="B164" s="86">
        <f t="shared" ca="1" si="22"/>
        <v>1.0873353267784256</v>
      </c>
      <c r="G164" s="86">
        <f t="shared" ca="1" si="17"/>
        <v>-1.0966606391444789</v>
      </c>
      <c r="H164" s="86">
        <f t="shared" ca="1" si="18"/>
        <v>0.61051260866325552</v>
      </c>
      <c r="O164" s="86">
        <f t="shared" ref="O164:P179" ca="1" si="23">O163*EXP((0.05-0.3^2/2)*1/250+0.3*SQRT(1/250)*G164)</f>
        <v>99.900359900132372</v>
      </c>
      <c r="P164" s="86">
        <f t="shared" ca="1" si="23"/>
        <v>72.386007154217353</v>
      </c>
      <c r="Q164" s="86">
        <f t="shared" ca="1" si="20"/>
        <v>2.0787672639715326E-2</v>
      </c>
      <c r="R164" s="86">
        <f t="shared" ca="1" si="20"/>
        <v>-1.1603662301761469E-2</v>
      </c>
    </row>
    <row r="165" spans="1:18">
      <c r="A165" s="86">
        <f t="shared" ca="1" si="22"/>
        <v>-0.83164625358308608</v>
      </c>
      <c r="B165" s="86">
        <f t="shared" ca="1" si="22"/>
        <v>1.5454466218014684</v>
      </c>
      <c r="G165" s="86">
        <f t="shared" ca="1" si="17"/>
        <v>-0.83164625358308608</v>
      </c>
      <c r="H165" s="86">
        <f t="shared" ca="1" si="18"/>
        <v>1.1338330481160599</v>
      </c>
      <c r="O165" s="86">
        <f t="shared" ca="1" si="23"/>
        <v>98.338332959852792</v>
      </c>
      <c r="P165" s="86">
        <f t="shared" ca="1" si="23"/>
        <v>73.961595508463247</v>
      </c>
      <c r="Q165" s="86">
        <f t="shared" ca="1" si="20"/>
        <v>1.5759378213211023E-2</v>
      </c>
      <c r="R165" s="86">
        <f t="shared" ca="1" si="20"/>
        <v>-2.1532969510508201E-2</v>
      </c>
    </row>
    <row r="166" spans="1:18">
      <c r="A166" s="86">
        <f t="shared" ca="1" si="22"/>
        <v>-0.848760034342534</v>
      </c>
      <c r="B166" s="86">
        <f t="shared" ca="1" si="22"/>
        <v>-0.72640995920849505</v>
      </c>
      <c r="G166" s="86">
        <f t="shared" ca="1" si="17"/>
        <v>-0.848760034342534</v>
      </c>
      <c r="H166" s="86">
        <f t="shared" ca="1" si="18"/>
        <v>-0.98665406817115686</v>
      </c>
      <c r="O166" s="86">
        <f t="shared" ca="1" si="23"/>
        <v>96.769302462407836</v>
      </c>
      <c r="P166" s="86">
        <f t="shared" ca="1" si="23"/>
        <v>72.591332972752269</v>
      </c>
      <c r="Q166" s="86">
        <f t="shared" ca="1" si="20"/>
        <v>1.608408937267071E-2</v>
      </c>
      <c r="R166" s="86">
        <f t="shared" ca="1" si="20"/>
        <v>1.8700444708551502E-2</v>
      </c>
    </row>
    <row r="167" spans="1:18">
      <c r="A167" s="86">
        <f t="shared" ca="1" si="22"/>
        <v>-1.0167376988588046</v>
      </c>
      <c r="B167" s="86">
        <f t="shared" ca="1" si="22"/>
        <v>-0.40610237848402686</v>
      </c>
      <c r="G167" s="86">
        <f t="shared" ca="1" si="17"/>
        <v>-1.0167376988588046</v>
      </c>
      <c r="H167" s="86">
        <f t="shared" ca="1" si="18"/>
        <v>-0.75005090202922708</v>
      </c>
      <c r="O167" s="86">
        <f t="shared" ca="1" si="23"/>
        <v>94.922292120750981</v>
      </c>
      <c r="P167" s="86">
        <f t="shared" ca="1" si="23"/>
        <v>71.567017535866242</v>
      </c>
      <c r="Q167" s="86">
        <f t="shared" ca="1" si="20"/>
        <v>1.9271241468113234E-2</v>
      </c>
      <c r="R167" s="86">
        <f t="shared" ca="1" si="20"/>
        <v>1.4211215268856993E-2</v>
      </c>
    </row>
    <row r="168" spans="1:18">
      <c r="A168" s="86">
        <f t="shared" ca="1" si="22"/>
        <v>-0.99542759646910473</v>
      </c>
      <c r="B168" s="86">
        <f t="shared" ca="1" si="22"/>
        <v>-1.7984003679160339</v>
      </c>
      <c r="G168" s="86">
        <f t="shared" ca="1" si="17"/>
        <v>-0.99542759646910473</v>
      </c>
      <c r="H168" s="86">
        <f t="shared" ca="1" si="18"/>
        <v>-2.0379445898629056</v>
      </c>
      <c r="O168" s="86">
        <f t="shared" ca="1" si="23"/>
        <v>93.148190247829177</v>
      </c>
      <c r="P168" s="86">
        <f t="shared" ca="1" si="23"/>
        <v>68.853911742977374</v>
      </c>
      <c r="Q168" s="86">
        <f t="shared" ca="1" si="20"/>
        <v>1.8866910703776184E-2</v>
      </c>
      <c r="R168" s="86">
        <f t="shared" ca="1" si="20"/>
        <v>3.8647279895106898E-2</v>
      </c>
    </row>
    <row r="169" spans="1:18">
      <c r="A169" s="86">
        <f t="shared" ca="1" si="22"/>
        <v>0.43297414972586901</v>
      </c>
      <c r="B169" s="86">
        <f t="shared" ca="1" si="22"/>
        <v>1.5935019287983228</v>
      </c>
      <c r="G169" s="86">
        <f t="shared" ca="1" si="17"/>
        <v>0.43297414972586901</v>
      </c>
      <c r="H169" s="86">
        <f t="shared" ca="1" si="18"/>
        <v>1.6414050980644916</v>
      </c>
      <c r="O169" s="86">
        <f t="shared" ca="1" si="23"/>
        <v>93.918442753663797</v>
      </c>
      <c r="P169" s="86">
        <f t="shared" ca="1" si="23"/>
        <v>71.033422878057607</v>
      </c>
      <c r="Q169" s="86">
        <f t="shared" ca="1" si="20"/>
        <v>-8.2351068866511352E-3</v>
      </c>
      <c r="R169" s="86">
        <f t="shared" ca="1" si="20"/>
        <v>-3.1163472037374983E-2</v>
      </c>
    </row>
    <row r="170" spans="1:18">
      <c r="A170" s="86">
        <f t="shared" ca="1" si="22"/>
        <v>1.8776165870502024</v>
      </c>
      <c r="B170" s="86">
        <f t="shared" ca="1" si="22"/>
        <v>0.23643927323405767</v>
      </c>
      <c r="G170" s="86">
        <f t="shared" ca="1" si="17"/>
        <v>1.8776165870502024</v>
      </c>
      <c r="H170" s="86">
        <f t="shared" ca="1" si="18"/>
        <v>0.90724156977708181</v>
      </c>
      <c r="O170" s="86">
        <f t="shared" ca="1" si="23"/>
        <v>97.326571987588778</v>
      </c>
      <c r="P170" s="86">
        <f t="shared" ca="1" si="23"/>
        <v>72.268200805325165</v>
      </c>
      <c r="Q170" s="86">
        <f t="shared" ca="1" si="20"/>
        <v>-3.5645269925542795E-2</v>
      </c>
      <c r="R170" s="86">
        <f t="shared" ca="1" si="20"/>
        <v>-1.7233698490892822E-2</v>
      </c>
    </row>
    <row r="171" spans="1:18">
      <c r="A171" s="86">
        <f t="shared" ca="1" si="22"/>
        <v>0.74555691843105698</v>
      </c>
      <c r="B171" s="86">
        <f t="shared" ca="1" si="22"/>
        <v>-1.033931628644392</v>
      </c>
      <c r="G171" s="86">
        <f t="shared" ca="1" si="17"/>
        <v>0.74555691843105698</v>
      </c>
      <c r="H171" s="86">
        <f t="shared" ca="1" si="18"/>
        <v>-0.689318295888389</v>
      </c>
      <c r="O171" s="86">
        <f t="shared" ca="1" si="23"/>
        <v>98.715106874386436</v>
      </c>
      <c r="P171" s="86">
        <f t="shared" ca="1" si="23"/>
        <v>71.330593336184407</v>
      </c>
      <c r="Q171" s="86">
        <f t="shared" ca="1" si="20"/>
        <v>-1.4165947925231147E-2</v>
      </c>
      <c r="R171" s="86">
        <f t="shared" ca="1" si="20"/>
        <v>1.305889508699918E-2</v>
      </c>
    </row>
    <row r="172" spans="1:18">
      <c r="A172" s="86">
        <f t="shared" ca="1" si="22"/>
        <v>-0.21770614736364152</v>
      </c>
      <c r="B172" s="86">
        <f t="shared" ca="1" si="22"/>
        <v>1.2434505794348585</v>
      </c>
      <c r="G172" s="86">
        <f t="shared" ca="1" si="17"/>
        <v>-0.21770614736364152</v>
      </c>
      <c r="H172" s="86">
        <f t="shared" ca="1" si="18"/>
        <v>1.0774931251690991</v>
      </c>
      <c r="O172" s="86">
        <f t="shared" ca="1" si="23"/>
        <v>98.310153180374215</v>
      </c>
      <c r="P172" s="86">
        <f t="shared" ca="1" si="23"/>
        <v>72.805340357647566</v>
      </c>
      <c r="Q172" s="86">
        <f t="shared" ca="1" si="20"/>
        <v>4.1106837177363308E-3</v>
      </c>
      <c r="R172" s="86">
        <f t="shared" ca="1" si="20"/>
        <v>-2.0463994632243559E-2</v>
      </c>
    </row>
    <row r="173" spans="1:18">
      <c r="A173" s="86">
        <f t="shared" ca="1" si="22"/>
        <v>1.2810514379620186</v>
      </c>
      <c r="B173" s="86">
        <f t="shared" ca="1" si="22"/>
        <v>0.3757524055042416</v>
      </c>
      <c r="G173" s="86">
        <f t="shared" ca="1" si="17"/>
        <v>1.2810514379620186</v>
      </c>
      <c r="H173" s="86">
        <f t="shared" ca="1" si="18"/>
        <v>0.81854559497327095</v>
      </c>
      <c r="O173" s="86">
        <f t="shared" ca="1" si="23"/>
        <v>100.73099538070578</v>
      </c>
      <c r="P173" s="86">
        <f t="shared" ca="1" si="23"/>
        <v>73.946371407588032</v>
      </c>
      <c r="Q173" s="86">
        <f t="shared" ca="1" si="20"/>
        <v>-2.432624206276314E-2</v>
      </c>
      <c r="R173" s="86">
        <f t="shared" ca="1" si="20"/>
        <v>-1.5550810692879264E-2</v>
      </c>
    </row>
    <row r="174" spans="1:18">
      <c r="A174" s="86">
        <f t="shared" ca="1" si="22"/>
        <v>-0.22792870980879967</v>
      </c>
      <c r="B174" s="86">
        <f t="shared" ca="1" si="22"/>
        <v>0.9577796309031511</v>
      </c>
      <c r="G174" s="86">
        <f t="shared" ca="1" si="17"/>
        <v>-0.22792870980879967</v>
      </c>
      <c r="H174" s="86">
        <f t="shared" ca="1" si="18"/>
        <v>0.80790204024971302</v>
      </c>
      <c r="O174" s="86">
        <f t="shared" ca="1" si="23"/>
        <v>100.29831631874353</v>
      </c>
      <c r="P174" s="86">
        <f t="shared" ca="1" si="23"/>
        <v>75.090119325259067</v>
      </c>
      <c r="Q174" s="86">
        <f t="shared" ca="1" si="20"/>
        <v>4.3046432028362178E-3</v>
      </c>
      <c r="R174" s="86">
        <f t="shared" ca="1" si="20"/>
        <v>-1.5348863440916776E-2</v>
      </c>
    </row>
    <row r="175" spans="1:18">
      <c r="A175" s="86">
        <f t="shared" ca="1" si="22"/>
        <v>-0.12633351298305423</v>
      </c>
      <c r="B175" s="86">
        <f t="shared" ca="1" si="22"/>
        <v>0.49576243301921064</v>
      </c>
      <c r="G175" s="86">
        <f t="shared" ca="1" si="17"/>
        <v>-0.12633351298305423</v>
      </c>
      <c r="H175" s="86">
        <f t="shared" ca="1" si="18"/>
        <v>0.41512581674357907</v>
      </c>
      <c r="O175" s="86">
        <f t="shared" ca="1" si="23"/>
        <v>100.06018935759651</v>
      </c>
      <c r="P175" s="86">
        <f t="shared" ca="1" si="23"/>
        <v>75.685412603292761</v>
      </c>
      <c r="Q175" s="86">
        <f t="shared" ca="1" si="20"/>
        <v>2.3770098750214626E-3</v>
      </c>
      <c r="R175" s="86">
        <f t="shared" ca="1" si="20"/>
        <v>-7.8964585786842623E-3</v>
      </c>
    </row>
    <row r="176" spans="1:18">
      <c r="A176" s="86">
        <f t="shared" ca="1" si="22"/>
        <v>-0.83970668991262876</v>
      </c>
      <c r="B176" s="86">
        <f t="shared" ca="1" si="22"/>
        <v>-1.085970779476815</v>
      </c>
      <c r="G176" s="86">
        <f t="shared" ca="1" si="17"/>
        <v>-0.83970668991262876</v>
      </c>
      <c r="H176" s="86">
        <f t="shared" ca="1" si="18"/>
        <v>-1.3179531831150473</v>
      </c>
      <c r="O176" s="86">
        <f t="shared" ca="1" si="23"/>
        <v>98.480600964505896</v>
      </c>
      <c r="P176" s="86">
        <f t="shared" ca="1" si="23"/>
        <v>73.817736767769006</v>
      </c>
      <c r="Q176" s="86">
        <f t="shared" ca="1" si="20"/>
        <v>1.5912314239628026E-2</v>
      </c>
      <c r="R176" s="86">
        <f t="shared" ca="1" si="20"/>
        <v>2.4986403448675094E-2</v>
      </c>
    </row>
    <row r="177" spans="1:18">
      <c r="A177" s="86">
        <f t="shared" ca="1" si="22"/>
        <v>0.78217049932230831</v>
      </c>
      <c r="B177" s="86">
        <f t="shared" ca="1" si="22"/>
        <v>1.9700500831475933</v>
      </c>
      <c r="G177" s="86">
        <f t="shared" ca="1" si="17"/>
        <v>0.78217049932230831</v>
      </c>
      <c r="H177" s="86">
        <f t="shared" ca="1" si="18"/>
        <v>2.1196322663884253</v>
      </c>
      <c r="O177" s="86">
        <f t="shared" ca="1" si="23"/>
        <v>99.955014126654447</v>
      </c>
      <c r="P177" s="86">
        <f t="shared" ca="1" si="23"/>
        <v>76.848521645782512</v>
      </c>
      <c r="Q177" s="86">
        <f t="shared" ca="1" si="20"/>
        <v>-1.486064177869797E-2</v>
      </c>
      <c r="R177" s="86">
        <f t="shared" ca="1" si="20"/>
        <v>-4.0237194582633036E-2</v>
      </c>
    </row>
    <row r="178" spans="1:18">
      <c r="A178" s="86">
        <f t="shared" ca="1" si="22"/>
        <v>-7.9868873465957724E-2</v>
      </c>
      <c r="B178" s="86">
        <f t="shared" ca="1" si="22"/>
        <v>0.3756585698002457</v>
      </c>
      <c r="G178" s="86">
        <f t="shared" ca="1" si="17"/>
        <v>-7.9868873465957724E-2</v>
      </c>
      <c r="H178" s="86">
        <f t="shared" ca="1" si="18"/>
        <v>0.32036143609098439</v>
      </c>
      <c r="O178" s="86">
        <f t="shared" ca="1" si="23"/>
        <v>99.805652572052608</v>
      </c>
      <c r="P178" s="86">
        <f t="shared" ca="1" si="23"/>
        <v>77.318608983554682</v>
      </c>
      <c r="Q178" s="86">
        <f t="shared" ca="1" si="20"/>
        <v>1.4954053258251928E-3</v>
      </c>
      <c r="R178" s="86">
        <f t="shared" ca="1" si="20"/>
        <v>-6.0984308751799833E-3</v>
      </c>
    </row>
    <row r="179" spans="1:18">
      <c r="A179" s="86">
        <f t="shared" ca="1" si="22"/>
        <v>-1.2711185706512331</v>
      </c>
      <c r="B179" s="86">
        <f t="shared" ca="1" si="22"/>
        <v>3.875311488872743E-2</v>
      </c>
      <c r="G179" s="86">
        <f t="shared" ca="1" si="17"/>
        <v>-1.2711185706512331</v>
      </c>
      <c r="H179" s="86">
        <f t="shared" ca="1" si="18"/>
        <v>-0.42916517263916792</v>
      </c>
      <c r="O179" s="86">
        <f t="shared" ca="1" si="23"/>
        <v>97.429305338111234</v>
      </c>
      <c r="P179" s="86">
        <f t="shared" ca="1" si="23"/>
        <v>76.693106421300286</v>
      </c>
      <c r="Q179" s="86">
        <f t="shared" ca="1" si="20"/>
        <v>2.4097779156373397E-2</v>
      </c>
      <c r="R179" s="86">
        <f t="shared" ca="1" si="20"/>
        <v>8.1228366277549258E-3</v>
      </c>
    </row>
    <row r="180" spans="1:18">
      <c r="A180" s="86">
        <f t="shared" ca="1" si="22"/>
        <v>1.3825487993695669</v>
      </c>
      <c r="B180" s="86">
        <f t="shared" ca="1" si="22"/>
        <v>-1.2884575202872617</v>
      </c>
      <c r="G180" s="86">
        <f t="shared" ca="1" si="17"/>
        <v>1.3825487993695669</v>
      </c>
      <c r="H180" s="86">
        <f t="shared" ca="1" si="18"/>
        <v>-0.69304484206844974</v>
      </c>
      <c r="O180" s="86">
        <f t="shared" ref="O180:P195" ca="1" si="24">O179*EXP((0.05-0.3^2/2)*1/250+0.3*SQRT(1/250)*G180)</f>
        <v>100.02088964774141</v>
      </c>
      <c r="P180" s="86">
        <f t="shared" ca="1" si="24"/>
        <v>75.692738098689759</v>
      </c>
      <c r="Q180" s="86">
        <f t="shared" ca="1" si="20"/>
        <v>-2.625201909403399E-2</v>
      </c>
      <c r="R180" s="86">
        <f t="shared" ca="1" si="20"/>
        <v>1.3129601329407971E-2</v>
      </c>
    </row>
    <row r="181" spans="1:18">
      <c r="A181" s="86">
        <f t="shared" ca="1" si="22"/>
        <v>-0.58807185456388433</v>
      </c>
      <c r="B181" s="86">
        <f t="shared" ca="1" si="22"/>
        <v>-0.89881958980366317</v>
      </c>
      <c r="G181" s="86">
        <f t="shared" ca="1" si="17"/>
        <v>-0.58807185456388433</v>
      </c>
      <c r="H181" s="86">
        <f t="shared" ca="1" si="18"/>
        <v>-1.0516891569759272</v>
      </c>
      <c r="O181" s="86">
        <f t="shared" ca="1" si="24"/>
        <v>98.91305003265542</v>
      </c>
      <c r="P181" s="86">
        <f t="shared" ca="1" si="24"/>
        <v>74.198788836244546</v>
      </c>
      <c r="Q181" s="86">
        <f t="shared" ca="1" si="20"/>
        <v>1.1137878929566842E-2</v>
      </c>
      <c r="R181" s="86">
        <f t="shared" ca="1" si="20"/>
        <v>1.9934398759277609E-2</v>
      </c>
    </row>
    <row r="182" spans="1:18">
      <c r="A182" s="86">
        <f t="shared" ca="1" si="22"/>
        <v>-0.69032199331855704</v>
      </c>
      <c r="B182" s="86">
        <f t="shared" ca="1" si="22"/>
        <v>-0.13614875180125974</v>
      </c>
      <c r="G182" s="86">
        <f t="shared" ca="1" si="17"/>
        <v>-0.69032199331855704</v>
      </c>
      <c r="H182" s="86">
        <f t="shared" ca="1" si="18"/>
        <v>-0.37935989985999408</v>
      </c>
      <c r="O182" s="86">
        <f t="shared" ca="1" si="24"/>
        <v>97.627893125915378</v>
      </c>
      <c r="P182" s="86">
        <f t="shared" ca="1" si="24"/>
        <v>73.668108058227673</v>
      </c>
      <c r="Q182" s="86">
        <f t="shared" ca="1" si="20"/>
        <v>1.3077938906765086E-2</v>
      </c>
      <c r="R182" s="86">
        <f t="shared" ca="1" si="20"/>
        <v>7.1778480189456425E-3</v>
      </c>
    </row>
    <row r="183" spans="1:18">
      <c r="A183" s="86">
        <f t="shared" ca="1" si="22"/>
        <v>0.17321970631772879</v>
      </c>
      <c r="B183" s="86">
        <f t="shared" ca="1" si="22"/>
        <v>0.47525561488938373</v>
      </c>
      <c r="G183" s="86">
        <f t="shared" ca="1" si="17"/>
        <v>0.17321970631772879</v>
      </c>
      <c r="H183" s="86">
        <f t="shared" ca="1" si="18"/>
        <v>0.50567834551922808</v>
      </c>
      <c r="O183" s="86">
        <f t="shared" ca="1" si="24"/>
        <v>97.951245076646117</v>
      </c>
      <c r="P183" s="86">
        <f t="shared" ca="1" si="24"/>
        <v>74.379811266506834</v>
      </c>
      <c r="Q183" s="86">
        <f t="shared" ca="1" si="20"/>
        <v>-3.3066128455368406E-3</v>
      </c>
      <c r="R183" s="86">
        <f t="shared" ca="1" si="20"/>
        <v>-9.6145720115981253E-3</v>
      </c>
    </row>
    <row r="184" spans="1:18">
      <c r="A184" s="86">
        <f t="shared" ca="1" si="22"/>
        <v>-7.8986013030421839E-2</v>
      </c>
      <c r="B184" s="86">
        <f t="shared" ca="1" si="22"/>
        <v>3.2261349960102215E-2</v>
      </c>
      <c r="G184" s="86">
        <f t="shared" ca="1" si="17"/>
        <v>-7.8986013030421839E-2</v>
      </c>
      <c r="H184" s="86">
        <f t="shared" ca="1" si="18"/>
        <v>1.1140106014145973E-3</v>
      </c>
      <c r="O184" s="86">
        <f t="shared" ca="1" si="24"/>
        <v>97.806516082529441</v>
      </c>
      <c r="P184" s="86">
        <f t="shared" ca="1" si="24"/>
        <v>74.382871081698894</v>
      </c>
      <c r="Q184" s="86">
        <f t="shared" ca="1" si="20"/>
        <v>1.478654226831309E-3</v>
      </c>
      <c r="R184" s="86">
        <f t="shared" ca="1" si="20"/>
        <v>-4.1136865028093684E-5</v>
      </c>
    </row>
    <row r="185" spans="1:18">
      <c r="A185" s="86">
        <f t="shared" ca="1" si="22"/>
        <v>-0.20714964407017064</v>
      </c>
      <c r="B185" s="86">
        <f t="shared" ca="1" si="22"/>
        <v>0.12915949569483476</v>
      </c>
      <c r="G185" s="86">
        <f t="shared" ca="1" si="17"/>
        <v>-0.20714964407017064</v>
      </c>
      <c r="H185" s="86">
        <f t="shared" ca="1" si="18"/>
        <v>4.4380975049024496E-2</v>
      </c>
      <c r="O185" s="86">
        <f t="shared" ca="1" si="24"/>
        <v>97.424801453580741</v>
      </c>
      <c r="P185" s="86">
        <f t="shared" ca="1" si="24"/>
        <v>74.447021955461167</v>
      </c>
      <c r="Q185" s="86">
        <f t="shared" ca="1" si="20"/>
        <v>3.9103881505297925E-3</v>
      </c>
      <c r="R185" s="86">
        <f t="shared" ca="1" si="20"/>
        <v>-8.620697956041181E-4</v>
      </c>
    </row>
    <row r="186" spans="1:18">
      <c r="A186" s="86">
        <f t="shared" ca="1" si="22"/>
        <v>-0.53903090966297029</v>
      </c>
      <c r="B186" s="86">
        <f t="shared" ca="1" si="22"/>
        <v>1.3588816023194599</v>
      </c>
      <c r="G186" s="86">
        <f t="shared" ca="1" si="17"/>
        <v>-0.53903090966297029</v>
      </c>
      <c r="H186" s="86">
        <f t="shared" ca="1" si="18"/>
        <v>1.06731008627415</v>
      </c>
      <c r="O186" s="86">
        <f t="shared" ca="1" si="24"/>
        <v>96.435406435533025</v>
      </c>
      <c r="P186" s="86">
        <f t="shared" ca="1" si="24"/>
        <v>75.971520727251672</v>
      </c>
      <c r="Q186" s="86">
        <f t="shared" ca="1" si="20"/>
        <v>1.0207392422604641E-2</v>
      </c>
      <c r="R186" s="86">
        <f t="shared" ca="1" si="20"/>
        <v>-2.0270785053782894E-2</v>
      </c>
    </row>
    <row r="187" spans="1:18">
      <c r="A187" s="86">
        <f t="shared" ca="1" si="22"/>
        <v>1.4376637707607469</v>
      </c>
      <c r="B187" s="86">
        <f t="shared" ca="1" si="22"/>
        <v>0.316269217023747</v>
      </c>
      <c r="G187" s="86">
        <f t="shared" ca="1" si="17"/>
        <v>1.4376637707607469</v>
      </c>
      <c r="H187" s="86">
        <f t="shared" ca="1" si="18"/>
        <v>0.82050977022164417</v>
      </c>
      <c r="O187" s="86">
        <f t="shared" ca="1" si="24"/>
        <v>99.104135695151101</v>
      </c>
      <c r="P187" s="86">
        <f t="shared" ca="1" si="24"/>
        <v>77.165048979006428</v>
      </c>
      <c r="Q187" s="86">
        <f t="shared" ca="1" si="20"/>
        <v>-2.729775215066094E-2</v>
      </c>
      <c r="R187" s="86">
        <f t="shared" ca="1" si="20"/>
        <v>-1.5588078297930944E-2</v>
      </c>
    </row>
    <row r="188" spans="1:18">
      <c r="A188" s="86">
        <f t="shared" ca="1" si="22"/>
        <v>0.4860761135600144</v>
      </c>
      <c r="B188" s="86">
        <f t="shared" ca="1" si="22"/>
        <v>-0.25769940870983932</v>
      </c>
      <c r="G188" s="86">
        <f t="shared" ca="1" si="17"/>
        <v>0.4860761135600144</v>
      </c>
      <c r="H188" s="86">
        <f t="shared" ca="1" si="18"/>
        <v>-6.1915039151476475E-2</v>
      </c>
      <c r="O188" s="86">
        <f t="shared" ca="1" si="24"/>
        <v>100.02436625126857</v>
      </c>
      <c r="P188" s="86">
        <f t="shared" ca="1" si="24"/>
        <v>77.07599366041984</v>
      </c>
      <c r="Q188" s="86">
        <f t="shared" ca="1" si="20"/>
        <v>-9.2426458103138202E-3</v>
      </c>
      <c r="R188" s="86">
        <f t="shared" ca="1" si="20"/>
        <v>1.1547552708230443E-3</v>
      </c>
    </row>
    <row r="189" spans="1:18">
      <c r="A189" s="86">
        <f t="shared" ca="1" si="22"/>
        <v>0.65026334611337477</v>
      </c>
      <c r="B189" s="86">
        <f t="shared" ca="1" si="22"/>
        <v>0.82733625657274146</v>
      </c>
      <c r="G189" s="86">
        <f t="shared" ca="1" si="17"/>
        <v>0.65026334611337477</v>
      </c>
      <c r="H189" s="86">
        <f t="shared" ca="1" si="18"/>
        <v>1.0079277914139964</v>
      </c>
      <c r="O189" s="86">
        <f t="shared" ca="1" si="24"/>
        <v>101.26812459737847</v>
      </c>
      <c r="P189" s="86">
        <f t="shared" ca="1" si="24"/>
        <v>78.56575763718854</v>
      </c>
      <c r="Q189" s="86">
        <f t="shared" ca="1" si="20"/>
        <v>-1.2357879515843899E-2</v>
      </c>
      <c r="R189" s="86">
        <f t="shared" ca="1" si="20"/>
        <v>-1.9144085227108025E-2</v>
      </c>
    </row>
    <row r="190" spans="1:18">
      <c r="A190" s="86">
        <f t="shared" ca="1" si="22"/>
        <v>-0.74677956944531598</v>
      </c>
      <c r="B190" s="86">
        <f t="shared" ca="1" si="22"/>
        <v>0.27621683340525455</v>
      </c>
      <c r="G190" s="86">
        <f t="shared" ca="1" si="17"/>
        <v>-0.74677956944531598</v>
      </c>
      <c r="H190" s="86">
        <f t="shared" ca="1" si="18"/>
        <v>-1.6269835287687884E-2</v>
      </c>
      <c r="O190" s="86">
        <f t="shared" ca="1" si="24"/>
        <v>99.8453563218021</v>
      </c>
      <c r="P190" s="86">
        <f t="shared" ca="1" si="24"/>
        <v>78.543079100879751</v>
      </c>
      <c r="Q190" s="86">
        <f t="shared" ca="1" si="20"/>
        <v>1.414914609716255E-2</v>
      </c>
      <c r="R190" s="86">
        <f t="shared" ca="1" si="20"/>
        <v>2.8869841998906251E-4</v>
      </c>
    </row>
    <row r="191" spans="1:18">
      <c r="A191" s="86">
        <f t="shared" ca="1" si="22"/>
        <v>0.10620066725894527</v>
      </c>
      <c r="B191" s="86">
        <f t="shared" ca="1" si="22"/>
        <v>-1.0835458892312124</v>
      </c>
      <c r="G191" s="86">
        <f t="shared" ca="1" si="17"/>
        <v>0.10620066725894527</v>
      </c>
      <c r="H191" s="86">
        <f t="shared" ca="1" si="18"/>
        <v>-0.96949445151682323</v>
      </c>
      <c r="O191" s="86">
        <f t="shared" ca="1" si="24"/>
        <v>100.04875010259057</v>
      </c>
      <c r="P191" s="86">
        <f t="shared" ca="1" si="24"/>
        <v>77.113039342893515</v>
      </c>
      <c r="Q191" s="86">
        <f t="shared" ca="1" si="20"/>
        <v>-2.0350159854075119E-3</v>
      </c>
      <c r="R191" s="86">
        <f t="shared" ca="1" si="20"/>
        <v>1.8374863874132938E-2</v>
      </c>
    </row>
    <row r="192" spans="1:18">
      <c r="A192" s="86">
        <f t="shared" ca="1" si="22"/>
        <v>-0.26465911714047968</v>
      </c>
      <c r="B192" s="86">
        <f t="shared" ca="1" si="22"/>
        <v>1.5254215511594509</v>
      </c>
      <c r="G192" s="86">
        <f t="shared" ca="1" si="17"/>
        <v>-0.26465911714047968</v>
      </c>
      <c r="H192" s="86">
        <f t="shared" ca="1" si="18"/>
        <v>1.3227147119319702</v>
      </c>
      <c r="O192" s="86">
        <f t="shared" ca="1" si="24"/>
        <v>99.549600211149794</v>
      </c>
      <c r="P192" s="86">
        <f t="shared" ca="1" si="24"/>
        <v>79.074396395928218</v>
      </c>
      <c r="Q192" s="86">
        <f t="shared" ca="1" si="20"/>
        <v>5.0015536821594033E-3</v>
      </c>
      <c r="R192" s="86">
        <f t="shared" ca="1" si="20"/>
        <v>-2.5116747105911139E-2</v>
      </c>
    </row>
    <row r="193" spans="1:18">
      <c r="A193" s="86">
        <f t="shared" ca="1" si="22"/>
        <v>2.1592841441932693E-2</v>
      </c>
      <c r="B193" s="86">
        <f t="shared" ca="1" si="22"/>
        <v>-0.71255451342689302</v>
      </c>
      <c r="G193" s="86">
        <f t="shared" ca="1" si="17"/>
        <v>2.1592841441932693E-2</v>
      </c>
      <c r="H193" s="86">
        <f t="shared" ca="1" si="18"/>
        <v>-0.65521083202917074</v>
      </c>
      <c r="O193" s="86">
        <f t="shared" ca="1" si="24"/>
        <v>99.592385404158065</v>
      </c>
      <c r="P193" s="86">
        <f t="shared" ca="1" si="24"/>
        <v>78.099010287529694</v>
      </c>
      <c r="Q193" s="86">
        <f t="shared" ca="1" si="20"/>
        <v>-4.2969536066829976E-4</v>
      </c>
      <c r="R193" s="86">
        <f t="shared" ca="1" si="20"/>
        <v>1.2411751460957061E-2</v>
      </c>
    </row>
    <row r="194" spans="1:18">
      <c r="A194" s="86">
        <f t="shared" ca="1" si="22"/>
        <v>-1.455196519316774</v>
      </c>
      <c r="B194" s="86">
        <f t="shared" ca="1" si="22"/>
        <v>9.4770261307933937E-2</v>
      </c>
      <c r="G194" s="86">
        <f t="shared" ca="1" si="17"/>
        <v>-1.455196519316774</v>
      </c>
      <c r="H194" s="86">
        <f t="shared" ca="1" si="18"/>
        <v>-0.44440731350954077</v>
      </c>
      <c r="O194" s="86">
        <f t="shared" ca="1" si="24"/>
        <v>96.882150565383199</v>
      </c>
      <c r="P194" s="86">
        <f t="shared" ca="1" si="24"/>
        <v>77.444794110703072</v>
      </c>
      <c r="Q194" s="86">
        <f t="shared" ca="1" si="20"/>
        <v>2.7590412665141294E-2</v>
      </c>
      <c r="R194" s="86">
        <f t="shared" ca="1" si="20"/>
        <v>8.4120359171599365E-3</v>
      </c>
    </row>
    <row r="195" spans="1:18">
      <c r="A195" s="86">
        <f t="shared" ca="1" si="22"/>
        <v>0.10946528994906185</v>
      </c>
      <c r="B195" s="86">
        <f t="shared" ca="1" si="22"/>
        <v>2.3638047115586427</v>
      </c>
      <c r="G195" s="86">
        <f t="shared" ref="G195:G258" ca="1" si="25">A195</f>
        <v>0.10946528994906185</v>
      </c>
      <c r="H195" s="86">
        <f t="shared" ref="H195:H258" ca="1" si="26">$K$1*G195+SQRT(1-$K$1^2)*B195</f>
        <v>2.2398560644163545</v>
      </c>
      <c r="O195" s="86">
        <f t="shared" ca="1" si="24"/>
        <v>97.085521506754191</v>
      </c>
      <c r="P195" s="86">
        <f t="shared" ca="1" si="24"/>
        <v>80.808618887690542</v>
      </c>
      <c r="Q195" s="86">
        <f t="shared" ca="1" si="20"/>
        <v>-2.0969578458187002E-3</v>
      </c>
      <c r="R195" s="86">
        <f t="shared" ca="1" si="20"/>
        <v>-4.2518280766978986E-2</v>
      </c>
    </row>
    <row r="196" spans="1:18">
      <c r="A196" s="86">
        <f t="shared" ca="1" si="22"/>
        <v>1.3001948600306019</v>
      </c>
      <c r="B196" s="86">
        <f t="shared" ca="1" si="22"/>
        <v>-0.10565244424964888</v>
      </c>
      <c r="G196" s="86">
        <f t="shared" ca="1" si="25"/>
        <v>1.3001948600306019</v>
      </c>
      <c r="H196" s="86">
        <f t="shared" ca="1" si="26"/>
        <v>0.37754958515921533</v>
      </c>
      <c r="O196" s="86">
        <f t="shared" ref="O196:P211" ca="1" si="27">O195*EXP((0.05-0.3^2/2)*1/250+0.3*SQRT(1/250)*G196)</f>
        <v>99.512346116666862</v>
      </c>
      <c r="P196" s="86">
        <f t="shared" ca="1" si="27"/>
        <v>81.391197549850588</v>
      </c>
      <c r="Q196" s="86">
        <f t="shared" ref="Q196:R259" ca="1" si="28">LN(O195/O196)</f>
        <v>-2.4689462958443216E-2</v>
      </c>
      <c r="R196" s="86">
        <f t="shared" ca="1" si="28"/>
        <v>-7.1834997125290092E-3</v>
      </c>
    </row>
    <row r="197" spans="1:18">
      <c r="A197" s="86">
        <f t="shared" ca="1" si="22"/>
        <v>0.65970788822382398</v>
      </c>
      <c r="B197" s="86">
        <f t="shared" ca="1" si="22"/>
        <v>-1.445849985414392</v>
      </c>
      <c r="G197" s="86">
        <f t="shared" ca="1" si="25"/>
        <v>0.65970788822382398</v>
      </c>
      <c r="H197" s="86">
        <f t="shared" ca="1" si="26"/>
        <v>-1.1040763809543432</v>
      </c>
      <c r="O197" s="86">
        <f t="shared" ca="1" si="27"/>
        <v>100.76779344858473</v>
      </c>
      <c r="P197" s="86">
        <f t="shared" ca="1" si="27"/>
        <v>79.70551277736142</v>
      </c>
      <c r="Q197" s="86">
        <f t="shared" ca="1" si="28"/>
        <v>-1.2537077103002305E-2</v>
      </c>
      <c r="R197" s="86">
        <f t="shared" ca="1" si="28"/>
        <v>2.0928376447668817E-2</v>
      </c>
    </row>
    <row r="198" spans="1:18">
      <c r="A198" s="86">
        <f t="shared" ca="1" si="22"/>
        <v>-0.58921700248980369</v>
      </c>
      <c r="B198" s="86">
        <f t="shared" ca="1" si="22"/>
        <v>2.6423324088738646E-2</v>
      </c>
      <c r="G198" s="86">
        <f t="shared" ca="1" si="25"/>
        <v>-0.58921700248980369</v>
      </c>
      <c r="H198" s="86">
        <f t="shared" ca="1" si="26"/>
        <v>-0.19106348511430382</v>
      </c>
      <c r="O198" s="86">
        <f t="shared" ca="1" si="27"/>
        <v>99.6495158917118</v>
      </c>
      <c r="P198" s="86">
        <f t="shared" ca="1" si="27"/>
        <v>79.418677831470646</v>
      </c>
      <c r="Q198" s="86">
        <f t="shared" ca="1" si="28"/>
        <v>1.1159606583789301E-2</v>
      </c>
      <c r="R198" s="86">
        <f t="shared" ca="1" si="28"/>
        <v>3.6051747439052942E-3</v>
      </c>
    </row>
    <row r="199" spans="1:18">
      <c r="A199" s="86">
        <f t="shared" ca="1" si="22"/>
        <v>-2.3366547222880953</v>
      </c>
      <c r="B199" s="86">
        <f t="shared" ca="1" si="22"/>
        <v>1.1319544270197086</v>
      </c>
      <c r="G199" s="86">
        <f t="shared" ca="1" si="25"/>
        <v>-2.3366547222880953</v>
      </c>
      <c r="H199" s="86">
        <f t="shared" ca="1" si="26"/>
        <v>0.19819797153386987</v>
      </c>
      <c r="O199" s="86">
        <f t="shared" ca="1" si="27"/>
        <v>95.32997386894678</v>
      </c>
      <c r="P199" s="86">
        <f t="shared" ca="1" si="27"/>
        <v>79.71949174857609</v>
      </c>
      <c r="Q199" s="86">
        <f t="shared" ca="1" si="28"/>
        <v>4.4314906166911611E-2</v>
      </c>
      <c r="R199" s="86">
        <f t="shared" ca="1" si="28"/>
        <v>-3.7805421060335136E-3</v>
      </c>
    </row>
    <row r="200" spans="1:18">
      <c r="A200" s="86">
        <f t="shared" ca="1" si="22"/>
        <v>0.24571597805784887</v>
      </c>
      <c r="B200" s="86">
        <f t="shared" ca="1" si="22"/>
        <v>0.31240247414072547</v>
      </c>
      <c r="G200" s="86">
        <f t="shared" ca="1" si="25"/>
        <v>0.24571597805784887</v>
      </c>
      <c r="H200" s="86">
        <f t="shared" ca="1" si="26"/>
        <v>0.38065842974231856</v>
      </c>
      <c r="O200" s="86">
        <f t="shared" ca="1" si="27"/>
        <v>95.777368037047935</v>
      </c>
      <c r="P200" s="86">
        <f t="shared" ca="1" si="27"/>
        <v>80.298954886709353</v>
      </c>
      <c r="Q200" s="86">
        <f t="shared" ca="1" si="28"/>
        <v>-4.6821328889524415E-3</v>
      </c>
      <c r="R200" s="86">
        <f t="shared" ca="1" si="28"/>
        <v>-7.24248589117347E-3</v>
      </c>
    </row>
    <row r="201" spans="1:18">
      <c r="A201" s="86">
        <f t="shared" ca="1" si="22"/>
        <v>0.62545545836675986</v>
      </c>
      <c r="B201" s="86">
        <f t="shared" ca="1" si="22"/>
        <v>-0.65022103566454714</v>
      </c>
      <c r="G201" s="86">
        <f t="shared" ca="1" si="25"/>
        <v>0.62545545836675986</v>
      </c>
      <c r="H201" s="86">
        <f t="shared" ca="1" si="26"/>
        <v>-0.37618865414476677</v>
      </c>
      <c r="O201" s="86">
        <f t="shared" ca="1" si="27"/>
        <v>96.922684941689795</v>
      </c>
      <c r="P201" s="86">
        <f t="shared" ca="1" si="27"/>
        <v>79.729442002145632</v>
      </c>
      <c r="Q201" s="86">
        <f t="shared" ca="1" si="28"/>
        <v>-1.1887182940541599E-2</v>
      </c>
      <c r="R201" s="86">
        <f t="shared" ca="1" si="28"/>
        <v>7.1176778620648615E-3</v>
      </c>
    </row>
    <row r="202" spans="1:18">
      <c r="A202" s="86">
        <f t="shared" ca="1" si="22"/>
        <v>-0.52304178222682496</v>
      </c>
      <c r="B202" s="86">
        <f t="shared" ca="1" si="22"/>
        <v>0.36395168362443109</v>
      </c>
      <c r="G202" s="86">
        <f t="shared" ca="1" si="25"/>
        <v>-0.52304178222682496</v>
      </c>
      <c r="H202" s="86">
        <f t="shared" ca="1" si="26"/>
        <v>0.14726554935599923</v>
      </c>
      <c r="O202" s="86">
        <f t="shared" ca="1" si="27"/>
        <v>95.967498625819871</v>
      </c>
      <c r="P202" s="86">
        <f t="shared" ca="1" si="27"/>
        <v>79.954130000475857</v>
      </c>
      <c r="Q202" s="86">
        <f t="shared" ca="1" si="28"/>
        <v>9.9040200596234342E-3</v>
      </c>
      <c r="R202" s="86">
        <f t="shared" ca="1" si="28"/>
        <v>-2.8141673410454595E-3</v>
      </c>
    </row>
    <row r="203" spans="1:18">
      <c r="A203" s="86">
        <f t="shared" ca="1" si="22"/>
        <v>-0.21227500207053596</v>
      </c>
      <c r="B203" s="86">
        <f t="shared" ca="1" si="22"/>
        <v>6.9577463829908731E-2</v>
      </c>
      <c r="G203" s="86">
        <f t="shared" ca="1" si="25"/>
        <v>-0.21227500207053596</v>
      </c>
      <c r="H203" s="86">
        <f t="shared" ca="1" si="26"/>
        <v>-1.2942829656497526E-2</v>
      </c>
      <c r="O203" s="86">
        <f t="shared" ca="1" si="27"/>
        <v>95.583665566403468</v>
      </c>
      <c r="P203" s="86">
        <f t="shared" ca="1" si="27"/>
        <v>79.936096547392339</v>
      </c>
      <c r="Q203" s="86">
        <f t="shared" ca="1" si="28"/>
        <v>4.0076349811591144E-3</v>
      </c>
      <c r="R203" s="86">
        <f t="shared" ca="1" si="28"/>
        <v>2.2557292649270699E-4</v>
      </c>
    </row>
    <row r="204" spans="1:18">
      <c r="A204" s="86">
        <f t="shared" ca="1" si="22"/>
        <v>-0.66375055110346004</v>
      </c>
      <c r="B204" s="86">
        <f t="shared" ca="1" si="22"/>
        <v>1.178306340997298</v>
      </c>
      <c r="G204" s="86">
        <f t="shared" ca="1" si="25"/>
        <v>-0.66375055110346004</v>
      </c>
      <c r="H204" s="86">
        <f t="shared" ca="1" si="26"/>
        <v>0.85361667768480853</v>
      </c>
      <c r="O204" s="86">
        <f t="shared" ca="1" si="27"/>
        <v>94.389341783795146</v>
      </c>
      <c r="P204" s="86">
        <f t="shared" ca="1" si="27"/>
        <v>81.242926585603442</v>
      </c>
      <c r="Q204" s="86">
        <f t="shared" ca="1" si="28"/>
        <v>1.257378123807348E-2</v>
      </c>
      <c r="R204" s="86">
        <f t="shared" ca="1" si="28"/>
        <v>-1.6216237701138954E-2</v>
      </c>
    </row>
    <row r="205" spans="1:18">
      <c r="A205" s="86">
        <f t="shared" ca="1" si="22"/>
        <v>8.8791690897472506E-2</v>
      </c>
      <c r="B205" s="86">
        <f t="shared" ca="1" si="22"/>
        <v>-1.4047955094956863</v>
      </c>
      <c r="G205" s="86">
        <f t="shared" ca="1" si="25"/>
        <v>8.8791690897472506E-2</v>
      </c>
      <c r="H205" s="86">
        <f t="shared" ca="1" si="26"/>
        <v>-1.274825804205709</v>
      </c>
      <c r="O205" s="86">
        <f t="shared" ca="1" si="27"/>
        <v>94.550384887669637</v>
      </c>
      <c r="P205" s="86">
        <f t="shared" ca="1" si="27"/>
        <v>79.302974789424312</v>
      </c>
      <c r="Q205" s="86">
        <f t="shared" ca="1" si="28"/>
        <v>-1.7047038832018135E-3</v>
      </c>
      <c r="R205" s="86">
        <f t="shared" ca="1" si="28"/>
        <v>2.4168118967475345E-2</v>
      </c>
    </row>
    <row r="206" spans="1:18">
      <c r="A206" s="86">
        <f t="shared" ca="1" si="22"/>
        <v>-1.9229822149970985</v>
      </c>
      <c r="B206" s="86">
        <f t="shared" ca="1" si="22"/>
        <v>0.88477606590075997</v>
      </c>
      <c r="G206" s="86">
        <f t="shared" ca="1" si="25"/>
        <v>-1.9229822149970985</v>
      </c>
      <c r="H206" s="86">
        <f t="shared" ca="1" si="26"/>
        <v>0.11957425561899637</v>
      </c>
      <c r="O206" s="86">
        <f t="shared" ca="1" si="27"/>
        <v>91.164616391274009</v>
      </c>
      <c r="P206" s="86">
        <f t="shared" ca="1" si="27"/>
        <v>79.484688293468324</v>
      </c>
      <c r="Q206" s="86">
        <f t="shared" ca="1" si="28"/>
        <v>3.6466022196318559E-2</v>
      </c>
      <c r="R206" s="86">
        <f t="shared" ca="1" si="28"/>
        <v>-2.2887619836513815E-3</v>
      </c>
    </row>
    <row r="207" spans="1:18">
      <c r="A207" s="86">
        <f t="shared" ca="1" si="22"/>
        <v>-0.978445765981384</v>
      </c>
      <c r="B207" s="86">
        <f t="shared" ca="1" si="22"/>
        <v>-0.84825073831962006</v>
      </c>
      <c r="G207" s="86">
        <f t="shared" ca="1" si="25"/>
        <v>-0.978445765981384</v>
      </c>
      <c r="H207" s="86">
        <f t="shared" ca="1" si="26"/>
        <v>-1.1475058843901684</v>
      </c>
      <c r="O207" s="86">
        <f t="shared" ca="1" si="27"/>
        <v>89.489575219896054</v>
      </c>
      <c r="P207" s="86">
        <f t="shared" ca="1" si="27"/>
        <v>77.774375228618567</v>
      </c>
      <c r="Q207" s="86">
        <f t="shared" ca="1" si="28"/>
        <v>1.8544703124695572E-2</v>
      </c>
      <c r="R207" s="86">
        <f t="shared" ca="1" si="28"/>
        <v>2.1752393338712903E-2</v>
      </c>
    </row>
    <row r="208" spans="1:18">
      <c r="A208" s="86">
        <f t="shared" ca="1" si="22"/>
        <v>0.18981682139563935</v>
      </c>
      <c r="B208" s="86">
        <f t="shared" ca="1" si="22"/>
        <v>-1.0804178294387103</v>
      </c>
      <c r="G208" s="86">
        <f t="shared" ca="1" si="25"/>
        <v>0.18981682139563935</v>
      </c>
      <c r="H208" s="86">
        <f t="shared" ca="1" si="26"/>
        <v>-0.93597992020659027</v>
      </c>
      <c r="O208" s="86">
        <f t="shared" ca="1" si="27"/>
        <v>89.814251148004686</v>
      </c>
      <c r="P208" s="86">
        <f t="shared" ca="1" si="27"/>
        <v>76.406902529595556</v>
      </c>
      <c r="Q208" s="86">
        <f t="shared" ca="1" si="28"/>
        <v>-3.6215209629415837E-3</v>
      </c>
      <c r="R208" s="86">
        <f t="shared" ca="1" si="28"/>
        <v>1.7738970352212904E-2</v>
      </c>
    </row>
    <row r="209" spans="1:18">
      <c r="A209" s="86">
        <f t="shared" ca="1" si="22"/>
        <v>0.92014225637107561</v>
      </c>
      <c r="B209" s="86">
        <f t="shared" ca="1" si="22"/>
        <v>1.8564306728528697</v>
      </c>
      <c r="G209" s="86">
        <f t="shared" ca="1" si="25"/>
        <v>0.92014225637107561</v>
      </c>
      <c r="H209" s="86">
        <f t="shared" ca="1" si="26"/>
        <v>2.0643940189411896</v>
      </c>
      <c r="O209" s="86">
        <f t="shared" ca="1" si="27"/>
        <v>91.397866275323111</v>
      </c>
      <c r="P209" s="86">
        <f t="shared" ca="1" si="27"/>
        <v>79.460668378874203</v>
      </c>
      <c r="Q209" s="86">
        <f t="shared" ca="1" si="28"/>
        <v>-1.7478471808995043E-2</v>
      </c>
      <c r="R209" s="86">
        <f t="shared" ca="1" si="28"/>
        <v>-3.9189122527297636E-2</v>
      </c>
    </row>
    <row r="210" spans="1:18">
      <c r="A210" s="86">
        <f t="shared" ca="1" si="22"/>
        <v>-0.34290831755832241</v>
      </c>
      <c r="B210" s="86">
        <f t="shared" ca="1" si="22"/>
        <v>1.2670415205861589</v>
      </c>
      <c r="G210" s="86">
        <f t="shared" ca="1" si="25"/>
        <v>-0.34290831755832241</v>
      </c>
      <c r="H210" s="86">
        <f t="shared" ca="1" si="26"/>
        <v>1.0536232110508834</v>
      </c>
      <c r="O210" s="86">
        <f t="shared" ca="1" si="27"/>
        <v>90.806957344264518</v>
      </c>
      <c r="P210" s="86">
        <f t="shared" ca="1" si="27"/>
        <v>81.066779778746607</v>
      </c>
      <c r="Q210" s="86">
        <f t="shared" ca="1" si="28"/>
        <v>6.486227872603648E-3</v>
      </c>
      <c r="R210" s="86">
        <f t="shared" ca="1" si="28"/>
        <v>-2.0011094855246565E-2</v>
      </c>
    </row>
    <row r="211" spans="1:18">
      <c r="A211" s="86">
        <f t="shared" ca="1" si="22"/>
        <v>-1.3150324413637597</v>
      </c>
      <c r="B211" s="86">
        <f t="shared" ca="1" si="22"/>
        <v>0.7723186167325925</v>
      </c>
      <c r="G211" s="86">
        <f t="shared" ca="1" si="25"/>
        <v>-1.3150324413637597</v>
      </c>
      <c r="H211" s="86">
        <f t="shared" ca="1" si="26"/>
        <v>0.23742930052180883</v>
      </c>
      <c r="O211" s="86">
        <f t="shared" ca="1" si="27"/>
        <v>88.571037985745107</v>
      </c>
      <c r="P211" s="86">
        <f t="shared" ca="1" si="27"/>
        <v>81.434430358621668</v>
      </c>
      <c r="Q211" s="86">
        <f t="shared" ca="1" si="28"/>
        <v>2.4930986270327787E-2</v>
      </c>
      <c r="R211" s="86">
        <f t="shared" ca="1" si="28"/>
        <v>-4.5249042374571405E-3</v>
      </c>
    </row>
    <row r="212" spans="1:18">
      <c r="A212" s="86">
        <f t="shared" ca="1" si="22"/>
        <v>-0.90350007309871361</v>
      </c>
      <c r="B212" s="86">
        <f t="shared" ca="1" si="22"/>
        <v>0.14804566258392979</v>
      </c>
      <c r="G212" s="86">
        <f t="shared" ca="1" si="25"/>
        <v>-0.90350007309871361</v>
      </c>
      <c r="H212" s="86">
        <f t="shared" ca="1" si="26"/>
        <v>-0.19290753459911614</v>
      </c>
      <c r="O212" s="86">
        <f t="shared" ref="O212:P227" ca="1" si="29">O211*EXP((0.05-0.3^2/2)*1/250+0.3*SQRT(1/250)*G212)</f>
        <v>87.067372067885316</v>
      </c>
      <c r="P212" s="86">
        <f t="shared" ca="1" si="29"/>
        <v>81.138534629398677</v>
      </c>
      <c r="Q212" s="86">
        <f t="shared" ca="1" si="28"/>
        <v>1.7122708582723342E-2</v>
      </c>
      <c r="R212" s="86">
        <f t="shared" ca="1" si="28"/>
        <v>3.6401631228456994E-3</v>
      </c>
    </row>
    <row r="213" spans="1:18">
      <c r="A213" s="86">
        <f t="shared" ca="1" si="22"/>
        <v>-1.0346194994314244</v>
      </c>
      <c r="B213" s="86">
        <f t="shared" ca="1" si="22"/>
        <v>1.2117547328496028</v>
      </c>
      <c r="G213" s="86">
        <f t="shared" ca="1" si="25"/>
        <v>-1.0346194994314244</v>
      </c>
      <c r="H213" s="86">
        <f t="shared" ca="1" si="26"/>
        <v>0.74900621278039026</v>
      </c>
      <c r="O213" s="86">
        <f t="shared" ca="1" si="29"/>
        <v>85.376568172421784</v>
      </c>
      <c r="P213" s="86">
        <f t="shared" ca="1" si="29"/>
        <v>82.301504773424</v>
      </c>
      <c r="Q213" s="86">
        <f t="shared" ca="1" si="28"/>
        <v>1.9610524778959419E-2</v>
      </c>
      <c r="R213" s="86">
        <f t="shared" ca="1" si="28"/>
        <v>-1.4231393684016564E-2</v>
      </c>
    </row>
    <row r="214" spans="1:18">
      <c r="A214" s="86">
        <f t="shared" ca="1" si="22"/>
        <v>-0.52284816852994542</v>
      </c>
      <c r="B214" s="86">
        <f t="shared" ca="1" si="22"/>
        <v>0.42601928993940558</v>
      </c>
      <c r="G214" s="86">
        <f t="shared" ca="1" si="25"/>
        <v>-0.52284816852994542</v>
      </c>
      <c r="H214" s="86">
        <f t="shared" ca="1" si="26"/>
        <v>0.20509744814172245</v>
      </c>
      <c r="O214" s="86">
        <f t="shared" ca="1" si="29"/>
        <v>84.53548096216133</v>
      </c>
      <c r="P214" s="86">
        <f t="shared" ca="1" si="29"/>
        <v>82.62405343832161</v>
      </c>
      <c r="Q214" s="86">
        <f t="shared" ca="1" si="28"/>
        <v>9.9003464980130119E-3</v>
      </c>
      <c r="R214" s="86">
        <f t="shared" ca="1" si="28"/>
        <v>-3.9114504704967183E-3</v>
      </c>
    </row>
    <row r="215" spans="1:18">
      <c r="A215" s="86">
        <f t="shared" ca="1" si="22"/>
        <v>1.9226056099394107</v>
      </c>
      <c r="B215" s="86">
        <f t="shared" ca="1" si="22"/>
        <v>1.4346209853093346</v>
      </c>
      <c r="G215" s="86">
        <f t="shared" ca="1" si="25"/>
        <v>1.9226056099394107</v>
      </c>
      <c r="H215" s="86">
        <f t="shared" ca="1" si="26"/>
        <v>2.0387532470278806</v>
      </c>
      <c r="O215" s="86">
        <f t="shared" ca="1" si="29"/>
        <v>87.677930135850076</v>
      </c>
      <c r="P215" s="86">
        <f t="shared" ca="1" si="29"/>
        <v>85.884508136822703</v>
      </c>
      <c r="Q215" s="86">
        <f t="shared" ca="1" si="28"/>
        <v>-3.6498876617754784E-2</v>
      </c>
      <c r="R215" s="86">
        <f t="shared" ca="1" si="28"/>
        <v>-3.8702623086032006E-2</v>
      </c>
    </row>
    <row r="216" spans="1:18">
      <c r="A216" s="86">
        <f t="shared" ca="1" si="22"/>
        <v>2.11185446382432</v>
      </c>
      <c r="B216" s="86">
        <f t="shared" ca="1" si="22"/>
        <v>0.40259429051147549</v>
      </c>
      <c r="G216" s="86">
        <f t="shared" ca="1" si="25"/>
        <v>2.11185446382432</v>
      </c>
      <c r="H216" s="86">
        <f t="shared" ca="1" si="26"/>
        <v>1.1475989592424347</v>
      </c>
      <c r="O216" s="86">
        <f t="shared" ca="1" si="29"/>
        <v>91.264313190922621</v>
      </c>
      <c r="P216" s="86">
        <f t="shared" ca="1" si="29"/>
        <v>87.776834721234295</v>
      </c>
      <c r="Q216" s="86">
        <f t="shared" ca="1" si="28"/>
        <v>-4.0089621154871108E-2</v>
      </c>
      <c r="R216" s="86">
        <f t="shared" ca="1" si="28"/>
        <v>-2.1794159309868902E-2</v>
      </c>
    </row>
    <row r="217" spans="1:18">
      <c r="A217" s="86">
        <f t="shared" ca="1" si="22"/>
        <v>1.1275951151061254</v>
      </c>
      <c r="B217" s="86">
        <f t="shared" ca="1" si="22"/>
        <v>0.40072067796784061</v>
      </c>
      <c r="G217" s="86">
        <f t="shared" ca="1" si="25"/>
        <v>1.1275951151061254</v>
      </c>
      <c r="H217" s="86">
        <f t="shared" ca="1" si="26"/>
        <v>0.78561642595435655</v>
      </c>
      <c r="O217" s="86">
        <f t="shared" ca="1" si="29"/>
        <v>93.239779574784293</v>
      </c>
      <c r="P217" s="86">
        <f t="shared" ca="1" si="29"/>
        <v>89.096820393841099</v>
      </c>
      <c r="Q217" s="86">
        <f t="shared" ca="1" si="28"/>
        <v>-2.1414613053290493E-2</v>
      </c>
      <c r="R217" s="86">
        <f t="shared" ca="1" si="28"/>
        <v>-1.4926023639540858E-2</v>
      </c>
    </row>
    <row r="218" spans="1:18">
      <c r="A218" s="86">
        <f t="shared" ca="1" si="22"/>
        <v>-8.8127141609499762E-2</v>
      </c>
      <c r="B218" s="86">
        <f t="shared" ca="1" si="22"/>
        <v>0.45405840233933753</v>
      </c>
      <c r="G218" s="86">
        <f t="shared" ca="1" si="25"/>
        <v>-8.8127141609499762E-2</v>
      </c>
      <c r="H218" s="86">
        <f t="shared" ca="1" si="26"/>
        <v>0.39029895838925577</v>
      </c>
      <c r="O218" s="86">
        <f t="shared" ca="1" si="29"/>
        <v>93.085865781197896</v>
      </c>
      <c r="P218" s="86">
        <f t="shared" ca="1" si="29"/>
        <v>89.760862446188554</v>
      </c>
      <c r="Q218" s="86">
        <f t="shared" ca="1" si="28"/>
        <v>1.6520949469973174E-3</v>
      </c>
      <c r="R218" s="86">
        <f t="shared" ca="1" si="28"/>
        <v>-7.4254020614079388E-3</v>
      </c>
    </row>
    <row r="219" spans="1:18">
      <c r="A219" s="86">
        <f t="shared" ca="1" si="22"/>
        <v>5.7058558052728511E-3</v>
      </c>
      <c r="B219" s="86">
        <f t="shared" ca="1" si="22"/>
        <v>-1.5261463005850302</v>
      </c>
      <c r="G219" s="86">
        <f t="shared" ca="1" si="25"/>
        <v>5.7058558052728511E-3</v>
      </c>
      <c r="H219" s="86">
        <f t="shared" ca="1" si="26"/>
        <v>-1.4181660681590025</v>
      </c>
      <c r="O219" s="86">
        <f t="shared" ca="1" si="29"/>
        <v>93.097805833326802</v>
      </c>
      <c r="P219" s="86">
        <f t="shared" ca="1" si="29"/>
        <v>87.379547137560877</v>
      </c>
      <c r="Q219" s="86">
        <f t="shared" ca="1" si="28"/>
        <v>-1.2826100207103389E-4</v>
      </c>
      <c r="R219" s="86">
        <f t="shared" ca="1" si="28"/>
        <v>2.6887809254488287E-2</v>
      </c>
    </row>
    <row r="220" spans="1:18">
      <c r="A220" s="86">
        <f t="shared" ref="A220:B283" ca="1" si="30">_xlfn.NORM.S.INV(RAND())</f>
        <v>-1.2488704953685699</v>
      </c>
      <c r="B220" s="86">
        <f t="shared" ca="1" si="30"/>
        <v>0.67972887321786213</v>
      </c>
      <c r="G220" s="86">
        <f t="shared" ca="1" si="25"/>
        <v>-1.2488704953685699</v>
      </c>
      <c r="H220" s="86">
        <f t="shared" ca="1" si="26"/>
        <v>0.17547918243581839</v>
      </c>
      <c r="O220" s="86">
        <f t="shared" ca="1" si="29"/>
        <v>90.919542270322566</v>
      </c>
      <c r="P220" s="86">
        <f t="shared" ca="1" si="29"/>
        <v>87.672714184369838</v>
      </c>
      <c r="Q220" s="86">
        <f t="shared" ca="1" si="28"/>
        <v>2.3675651607684586E-2</v>
      </c>
      <c r="R220" s="86">
        <f t="shared" ca="1" si="28"/>
        <v>-3.3494833906483339E-3</v>
      </c>
    </row>
    <row r="221" spans="1:18">
      <c r="A221" s="86">
        <f t="shared" ca="1" si="30"/>
        <v>-1.6005466989536608</v>
      </c>
      <c r="B221" s="86">
        <f t="shared" ca="1" si="30"/>
        <v>5.3048693975986494E-2</v>
      </c>
      <c r="G221" s="86">
        <f t="shared" ca="1" si="25"/>
        <v>-1.6005466989536608</v>
      </c>
      <c r="H221" s="86">
        <f t="shared" ca="1" si="26"/>
        <v>-0.53643218940253434</v>
      </c>
      <c r="O221" s="86">
        <f t="shared" ca="1" si="29"/>
        <v>88.201743124025811</v>
      </c>
      <c r="P221" s="86">
        <f t="shared" ca="1" si="29"/>
        <v>86.786635337863174</v>
      </c>
      <c r="Q221" s="86">
        <f t="shared" ca="1" si="28"/>
        <v>3.0348238420944511E-2</v>
      </c>
      <c r="R221" s="86">
        <f t="shared" ca="1" si="28"/>
        <v>1.0158085172457133E-2</v>
      </c>
    </row>
    <row r="222" spans="1:18">
      <c r="A222" s="86">
        <f t="shared" ca="1" si="30"/>
        <v>-0.3013657467244561</v>
      </c>
      <c r="B222" s="86">
        <f t="shared" ca="1" si="30"/>
        <v>-0.15506232044322224</v>
      </c>
      <c r="G222" s="86">
        <f t="shared" ca="1" si="25"/>
        <v>-0.3013657467244561</v>
      </c>
      <c r="H222" s="86">
        <f t="shared" ca="1" si="26"/>
        <v>-0.25460316146100792</v>
      </c>
      <c r="O222" s="86">
        <f t="shared" ca="1" si="29"/>
        <v>87.700597567018619</v>
      </c>
      <c r="P222" s="86">
        <f t="shared" ca="1" si="29"/>
        <v>86.370128727608488</v>
      </c>
      <c r="Q222" s="86">
        <f t="shared" ca="1" si="28"/>
        <v>5.698013010440304E-3</v>
      </c>
      <c r="R222" s="86">
        <f t="shared" ca="1" si="28"/>
        <v>4.8107553381783394E-3</v>
      </c>
    </row>
    <row r="223" spans="1:18">
      <c r="A223" s="86">
        <f t="shared" ca="1" si="30"/>
        <v>1.5694762692935382</v>
      </c>
      <c r="B223" s="86">
        <f t="shared" ca="1" si="30"/>
        <v>0.57796853925295788</v>
      </c>
      <c r="G223" s="86">
        <f t="shared" ca="1" si="25"/>
        <v>1.5694762692935382</v>
      </c>
      <c r="H223" s="86">
        <f t="shared" ca="1" si="26"/>
        <v>1.1122944203209926</v>
      </c>
      <c r="O223" s="86">
        <f t="shared" ca="1" si="29"/>
        <v>90.353290114228216</v>
      </c>
      <c r="P223" s="86">
        <f t="shared" ca="1" si="29"/>
        <v>88.214044629040188</v>
      </c>
      <c r="Q223" s="86">
        <f t="shared" ca="1" si="28"/>
        <v>-2.979871846730809E-2</v>
      </c>
      <c r="R223" s="86">
        <f t="shared" ca="1" si="28"/>
        <v>-2.1124302781466112E-2</v>
      </c>
    </row>
    <row r="224" spans="1:18">
      <c r="A224" s="86">
        <f t="shared" ca="1" si="30"/>
        <v>-0.15056930054616233</v>
      </c>
      <c r="B224" s="86">
        <f t="shared" ca="1" si="30"/>
        <v>-2.8820352770976068</v>
      </c>
      <c r="G224" s="86">
        <f t="shared" ca="1" si="25"/>
        <v>-0.15056930054616233</v>
      </c>
      <c r="H224" s="86">
        <f t="shared" ca="1" si="26"/>
        <v>-2.737173192576503</v>
      </c>
      <c r="O224" s="86">
        <f t="shared" ca="1" si="29"/>
        <v>90.09733446322457</v>
      </c>
      <c r="P224" s="86">
        <f t="shared" ca="1" si="29"/>
        <v>83.751323759140789</v>
      </c>
      <c r="Q224" s="86">
        <f t="shared" ca="1" si="28"/>
        <v>2.8368516125458773E-3</v>
      </c>
      <c r="R224" s="86">
        <f t="shared" ca="1" si="28"/>
        <v>5.1914209833378605E-2</v>
      </c>
    </row>
    <row r="225" spans="1:18">
      <c r="A225" s="86">
        <f t="shared" ca="1" si="30"/>
        <v>0.5480377545135614</v>
      </c>
      <c r="B225" s="86">
        <f t="shared" ca="1" si="30"/>
        <v>1.489634579837553</v>
      </c>
      <c r="G225" s="86">
        <f t="shared" ca="1" si="25"/>
        <v>0.5480377545135614</v>
      </c>
      <c r="H225" s="86">
        <f t="shared" ca="1" si="26"/>
        <v>1.5868578799902182</v>
      </c>
      <c r="O225" s="86">
        <f t="shared" ca="1" si="29"/>
        <v>91.040900834593117</v>
      </c>
      <c r="P225" s="86">
        <f t="shared" ca="1" si="29"/>
        <v>86.313022781944781</v>
      </c>
      <c r="Q225" s="86">
        <f t="shared" ca="1" si="28"/>
        <v>-1.0418285288162516E-2</v>
      </c>
      <c r="R225" s="86">
        <f t="shared" ca="1" si="28"/>
        <v>-3.0128511342531302E-2</v>
      </c>
    </row>
    <row r="226" spans="1:18">
      <c r="A226" s="86">
        <f t="shared" ca="1" si="30"/>
        <v>9.4615689143147857E-2</v>
      </c>
      <c r="B226" s="86">
        <f t="shared" ca="1" si="30"/>
        <v>1.1873386877536105</v>
      </c>
      <c r="G226" s="86">
        <f t="shared" ca="1" si="25"/>
        <v>9.4615689143147857E-2</v>
      </c>
      <c r="H226" s="86">
        <f t="shared" ca="1" si="26"/>
        <v>1.139584357641497</v>
      </c>
      <c r="O226" s="86">
        <f t="shared" ca="1" si="29"/>
        <v>91.206308947297245</v>
      </c>
      <c r="P226" s="86">
        <f t="shared" ca="1" si="29"/>
        <v>88.201377511796764</v>
      </c>
      <c r="Q226" s="86">
        <f t="shared" ca="1" si="28"/>
        <v>-1.8152064804728201E-3</v>
      </c>
      <c r="R226" s="86">
        <f t="shared" ca="1" si="28"/>
        <v>-2.1642092936282196E-2</v>
      </c>
    </row>
    <row r="227" spans="1:18">
      <c r="A227" s="86">
        <f t="shared" ca="1" si="30"/>
        <v>-1.6610262779424783</v>
      </c>
      <c r="B227" s="86">
        <f t="shared" ca="1" si="30"/>
        <v>-0.45468426655298977</v>
      </c>
      <c r="G227" s="86">
        <f t="shared" ca="1" si="25"/>
        <v>-1.6610262779424783</v>
      </c>
      <c r="H227" s="86">
        <f t="shared" ca="1" si="26"/>
        <v>-1.0310715484769106</v>
      </c>
      <c r="O227" s="86">
        <f t="shared" ca="1" si="29"/>
        <v>88.378463464185756</v>
      </c>
      <c r="P227" s="86">
        <f t="shared" ca="1" si="29"/>
        <v>86.494374210655465</v>
      </c>
      <c r="Q227" s="86">
        <f t="shared" ca="1" si="28"/>
        <v>3.1495757750140949E-2</v>
      </c>
      <c r="R227" s="86">
        <f t="shared" ca="1" si="28"/>
        <v>1.9543207142702537E-2</v>
      </c>
    </row>
    <row r="228" spans="1:18">
      <c r="A228" s="86">
        <f t="shared" ca="1" si="30"/>
        <v>1.2415146999911115</v>
      </c>
      <c r="B228" s="86">
        <f t="shared" ca="1" si="30"/>
        <v>0.38685587260535392</v>
      </c>
      <c r="G228" s="86">
        <f t="shared" ca="1" si="25"/>
        <v>1.2415146999911115</v>
      </c>
      <c r="H228" s="86">
        <f t="shared" ca="1" si="26"/>
        <v>0.81440820025242444</v>
      </c>
      <c r="O228" s="86">
        <f t="shared" ref="O228:P243" ca="1" si="31">O227*EXP((0.05-0.3^2/2)*1/250+0.3*SQRT(1/250)*G228)</f>
        <v>90.486837595492332</v>
      </c>
      <c r="P228" s="86">
        <f t="shared" ca="1" si="31"/>
        <v>87.843048556081783</v>
      </c>
      <c r="Q228" s="86">
        <f t="shared" ca="1" si="28"/>
        <v>-2.3576085203315205E-2</v>
      </c>
      <c r="R228" s="86">
        <f t="shared" ca="1" si="28"/>
        <v>-1.5472309147496997E-2</v>
      </c>
    </row>
    <row r="229" spans="1:18">
      <c r="A229" s="86">
        <f t="shared" ca="1" si="30"/>
        <v>-0.15842212892325022</v>
      </c>
      <c r="B229" s="86">
        <f t="shared" ca="1" si="30"/>
        <v>-0.39570407973221727</v>
      </c>
      <c r="G229" s="86">
        <f t="shared" ca="1" si="25"/>
        <v>-0.15842212892325022</v>
      </c>
      <c r="H229" s="86">
        <f t="shared" ca="1" si="26"/>
        <v>-0.42623059219428333</v>
      </c>
      <c r="O229" s="86">
        <f t="shared" ca="1" si="31"/>
        <v>90.217060559324523</v>
      </c>
      <c r="P229" s="86">
        <f t="shared" ca="1" si="31"/>
        <v>87.137255601612765</v>
      </c>
      <c r="Q229" s="86">
        <f t="shared" ca="1" si="28"/>
        <v>2.9858485550217969E-3</v>
      </c>
      <c r="R229" s="86">
        <f t="shared" ca="1" si="28"/>
        <v>8.0671568786577757E-3</v>
      </c>
    </row>
    <row r="230" spans="1:18">
      <c r="A230" s="86">
        <f t="shared" ca="1" si="30"/>
        <v>-0.79773254316207365</v>
      </c>
      <c r="B230" s="86">
        <f t="shared" ca="1" si="30"/>
        <v>0.59217995437570259</v>
      </c>
      <c r="G230" s="86">
        <f t="shared" ca="1" si="25"/>
        <v>-0.79773254316207365</v>
      </c>
      <c r="H230" s="86">
        <f t="shared" ca="1" si="26"/>
        <v>0.25912134892230543</v>
      </c>
      <c r="O230" s="86">
        <f t="shared" ca="1" si="31"/>
        <v>88.86360266461277</v>
      </c>
      <c r="P230" s="86">
        <f t="shared" ca="1" si="31"/>
        <v>87.568470554984287</v>
      </c>
      <c r="Q230" s="86">
        <f t="shared" ca="1" si="28"/>
        <v>1.5115910800184384E-2</v>
      </c>
      <c r="R230" s="86">
        <f t="shared" ca="1" si="28"/>
        <v>-4.9364819178183009E-3</v>
      </c>
    </row>
    <row r="231" spans="1:18">
      <c r="A231" s="86">
        <f t="shared" ca="1" si="30"/>
        <v>-0.19885916246717258</v>
      </c>
      <c r="B231" s="86">
        <f t="shared" ca="1" si="30"/>
        <v>-1.1323000765207507</v>
      </c>
      <c r="G231" s="86">
        <f t="shared" ca="1" si="25"/>
        <v>-0.19885916246717258</v>
      </c>
      <c r="H231" s="86">
        <f t="shared" ca="1" si="26"/>
        <v>-1.1265177199130409</v>
      </c>
      <c r="O231" s="86">
        <f t="shared" ca="1" si="31"/>
        <v>88.530714873290449</v>
      </c>
      <c r="P231" s="86">
        <f t="shared" ca="1" si="31"/>
        <v>85.718342744985037</v>
      </c>
      <c r="Q231" s="86">
        <f t="shared" ca="1" si="28"/>
        <v>3.7530873219384134E-3</v>
      </c>
      <c r="R231" s="86">
        <f t="shared" ca="1" si="28"/>
        <v>2.1354170916788911E-2</v>
      </c>
    </row>
    <row r="232" spans="1:18">
      <c r="A232" s="86">
        <f t="shared" ca="1" si="30"/>
        <v>-1.1393773913882463</v>
      </c>
      <c r="B232" s="86">
        <f t="shared" ca="1" si="30"/>
        <v>-0.52716161802899419</v>
      </c>
      <c r="G232" s="86">
        <f t="shared" ca="1" si="25"/>
        <v>-1.1393773913882463</v>
      </c>
      <c r="H232" s="86">
        <f t="shared" ca="1" si="26"/>
        <v>-0.9075965556076635</v>
      </c>
      <c r="O232" s="86">
        <f t="shared" ca="1" si="31"/>
        <v>86.639114872687188</v>
      </c>
      <c r="P232" s="86">
        <f t="shared" ca="1" si="31"/>
        <v>84.256557766301384</v>
      </c>
      <c r="Q232" s="86">
        <f t="shared" ca="1" si="28"/>
        <v>2.1598166027727756E-2</v>
      </c>
      <c r="R232" s="86">
        <f t="shared" ca="1" si="28"/>
        <v>1.7200433873463126E-2</v>
      </c>
    </row>
    <row r="233" spans="1:18">
      <c r="A233" s="86">
        <f t="shared" ca="1" si="30"/>
        <v>0.21501193701012747</v>
      </c>
      <c r="B233" s="86">
        <f t="shared" ca="1" si="30"/>
        <v>-1.0879058276775952</v>
      </c>
      <c r="G233" s="86">
        <f t="shared" ca="1" si="25"/>
        <v>0.21501193701012747</v>
      </c>
      <c r="H233" s="86">
        <f t="shared" ca="1" si="26"/>
        <v>-0.93372695025342778</v>
      </c>
      <c r="O233" s="86">
        <f t="shared" ca="1" si="31"/>
        <v>86.995026570142571</v>
      </c>
      <c r="P233" s="86">
        <f t="shared" ca="1" si="31"/>
        <v>82.778650168751724</v>
      </c>
      <c r="Q233" s="86">
        <f t="shared" ca="1" si="28"/>
        <v>-4.099564670460085E-3</v>
      </c>
      <c r="R233" s="86">
        <f t="shared" ca="1" si="28"/>
        <v>1.7696223252901492E-2</v>
      </c>
    </row>
    <row r="234" spans="1:18">
      <c r="A234" s="86">
        <f t="shared" ca="1" si="30"/>
        <v>0.55040735955791886</v>
      </c>
      <c r="B234" s="86">
        <f t="shared" ca="1" si="30"/>
        <v>-0.14657490827896294</v>
      </c>
      <c r="G234" s="86">
        <f t="shared" ca="1" si="25"/>
        <v>0.55040735955791886</v>
      </c>
      <c r="H234" s="86">
        <f t="shared" ca="1" si="26"/>
        <v>6.5044307240847005E-2</v>
      </c>
      <c r="O234" s="86">
        <f t="shared" ca="1" si="31"/>
        <v>87.910055618896166</v>
      </c>
      <c r="P234" s="86">
        <f t="shared" ca="1" si="31"/>
        <v>82.882530397039133</v>
      </c>
      <c r="Q234" s="86">
        <f t="shared" ca="1" si="28"/>
        <v>-1.0463245382733678E-2</v>
      </c>
      <c r="R234" s="86">
        <f t="shared" ca="1" si="28"/>
        <v>-1.2541289582532467E-3</v>
      </c>
    </row>
    <row r="235" spans="1:18">
      <c r="A235" s="86">
        <f t="shared" ca="1" si="30"/>
        <v>0.57962884087169941</v>
      </c>
      <c r="B235" s="86">
        <f t="shared" ca="1" si="30"/>
        <v>1.0707186839387588</v>
      </c>
      <c r="G235" s="86">
        <f t="shared" ca="1" si="25"/>
        <v>0.57962884087169941</v>
      </c>
      <c r="H235" s="86">
        <f t="shared" ca="1" si="26"/>
        <v>1.2085708637568706</v>
      </c>
      <c r="O235" s="86">
        <f t="shared" ca="1" si="31"/>
        <v>88.883976155249997</v>
      </c>
      <c r="P235" s="86">
        <f t="shared" ca="1" si="31"/>
        <v>84.806766119214586</v>
      </c>
      <c r="Q235" s="86">
        <f t="shared" ca="1" si="28"/>
        <v>-1.101768400806704E-2</v>
      </c>
      <c r="R235" s="86">
        <f t="shared" ca="1" si="28"/>
        <v>-2.2951019859132463E-2</v>
      </c>
    </row>
    <row r="236" spans="1:18">
      <c r="A236" s="86">
        <f t="shared" ca="1" si="30"/>
        <v>0.32003133835422104</v>
      </c>
      <c r="B236" s="86">
        <f t="shared" ca="1" si="30"/>
        <v>-0.16869540408105738</v>
      </c>
      <c r="G236" s="86">
        <f t="shared" ca="1" si="25"/>
        <v>0.32003133835422104</v>
      </c>
      <c r="H236" s="86">
        <f t="shared" ca="1" si="26"/>
        <v>-3.9858978413901416E-2</v>
      </c>
      <c r="O236" s="86">
        <f t="shared" ca="1" si="31"/>
        <v>89.427125041971308</v>
      </c>
      <c r="P236" s="86">
        <f t="shared" ca="1" si="31"/>
        <v>84.744348342655627</v>
      </c>
      <c r="Q236" s="86">
        <f t="shared" ca="1" si="28"/>
        <v>-6.0921677109880808E-3</v>
      </c>
      <c r="R236" s="86">
        <f t="shared" ca="1" si="28"/>
        <v>7.3627094197249428E-4</v>
      </c>
    </row>
    <row r="237" spans="1:18">
      <c r="A237" s="86">
        <f t="shared" ca="1" si="30"/>
        <v>1.4552635873293331</v>
      </c>
      <c r="B237" s="86">
        <f t="shared" ca="1" si="30"/>
        <v>2.0321283356306017</v>
      </c>
      <c r="G237" s="86">
        <f t="shared" ca="1" si="25"/>
        <v>1.4552635873293331</v>
      </c>
      <c r="H237" s="86">
        <f t="shared" ca="1" si="26"/>
        <v>2.4237552802537352</v>
      </c>
      <c r="O237" s="86">
        <f t="shared" ca="1" si="31"/>
        <v>91.932603087889433</v>
      </c>
      <c r="P237" s="86">
        <f t="shared" ca="1" si="31"/>
        <v>88.734306173704823</v>
      </c>
      <c r="Q237" s="86">
        <f t="shared" ca="1" si="28"/>
        <v>-2.7631685191208122E-2</v>
      </c>
      <c r="R237" s="86">
        <f t="shared" ca="1" si="28"/>
        <v>-4.6007523058769352E-2</v>
      </c>
    </row>
    <row r="238" spans="1:18">
      <c r="A238" s="86">
        <f t="shared" ca="1" si="30"/>
        <v>-5.459816340962239E-2</v>
      </c>
      <c r="B238" s="86">
        <f t="shared" ca="1" si="30"/>
        <v>-0.39785042098293644</v>
      </c>
      <c r="G238" s="86">
        <f t="shared" ca="1" si="25"/>
        <v>-5.459816340962239E-2</v>
      </c>
      <c r="H238" s="86">
        <f t="shared" ca="1" si="26"/>
        <v>-0.39022843785848882</v>
      </c>
      <c r="O238" s="86">
        <f t="shared" ca="1" si="31"/>
        <v>91.839253671448304</v>
      </c>
      <c r="P238" s="86">
        <f t="shared" ca="1" si="31"/>
        <v>88.081499524603842</v>
      </c>
      <c r="Q238" s="86">
        <f t="shared" ca="1" si="28"/>
        <v>1.0159273146188037E-3</v>
      </c>
      <c r="R238" s="86">
        <f t="shared" ca="1" si="28"/>
        <v>7.3840640284139128E-3</v>
      </c>
    </row>
    <row r="239" spans="1:18">
      <c r="A239" s="86">
        <f t="shared" ca="1" si="30"/>
        <v>0.37871629417962849</v>
      </c>
      <c r="B239" s="86">
        <f t="shared" ca="1" si="30"/>
        <v>2.5171395617442953</v>
      </c>
      <c r="G239" s="86">
        <f t="shared" ca="1" si="25"/>
        <v>0.37871629417962849</v>
      </c>
      <c r="H239" s="86">
        <f t="shared" ca="1" si="26"/>
        <v>2.4810976206490807</v>
      </c>
      <c r="O239" s="86">
        <f t="shared" ca="1" si="31"/>
        <v>92.503403885016553</v>
      </c>
      <c r="P239" s="86">
        <f t="shared" ca="1" si="31"/>
        <v>92.328976853659697</v>
      </c>
      <c r="Q239" s="86">
        <f t="shared" ca="1" si="28"/>
        <v>-7.2056364597559586E-3</v>
      </c>
      <c r="R239" s="86">
        <f t="shared" ca="1" si="28"/>
        <v>-4.7095517470853096E-2</v>
      </c>
    </row>
    <row r="240" spans="1:18">
      <c r="A240" s="86">
        <f t="shared" ca="1" si="30"/>
        <v>1.2910837487482612</v>
      </c>
      <c r="B240" s="86">
        <f t="shared" ca="1" si="30"/>
        <v>-1.8479233917319347</v>
      </c>
      <c r="G240" s="86">
        <f t="shared" ca="1" si="25"/>
        <v>1.2910837487482612</v>
      </c>
      <c r="H240" s="86">
        <f t="shared" ca="1" si="26"/>
        <v>-1.2471682989188602</v>
      </c>
      <c r="O240" s="86">
        <f t="shared" ca="1" si="31"/>
        <v>94.799300863358667</v>
      </c>
      <c r="P240" s="86">
        <f t="shared" ca="1" si="31"/>
        <v>90.171614247088186</v>
      </c>
      <c r="Q240" s="86">
        <f t="shared" ca="1" si="28"/>
        <v>-2.451659177643831E-2</v>
      </c>
      <c r="R240" s="86">
        <f t="shared" ca="1" si="28"/>
        <v>2.3643354700847712E-2</v>
      </c>
    </row>
    <row r="241" spans="1:18">
      <c r="A241" s="86">
        <f t="shared" ca="1" si="30"/>
        <v>-0.4996514583553916</v>
      </c>
      <c r="B241" s="86">
        <f t="shared" ca="1" si="30"/>
        <v>1.9611320915262065</v>
      </c>
      <c r="G241" s="86">
        <f t="shared" ca="1" si="25"/>
        <v>-0.4996514583553916</v>
      </c>
      <c r="H241" s="86">
        <f t="shared" ca="1" si="26"/>
        <v>1.6421862144387513</v>
      </c>
      <c r="O241" s="86">
        <f t="shared" ca="1" si="31"/>
        <v>93.906707356230285</v>
      </c>
      <c r="P241" s="86">
        <f t="shared" ca="1" si="31"/>
        <v>93.027297565477923</v>
      </c>
      <c r="Q241" s="86">
        <f t="shared" ca="1" si="28"/>
        <v>9.4602198677668833E-3</v>
      </c>
      <c r="R241" s="86">
        <f t="shared" ca="1" si="28"/>
        <v>-3.1178292678536869E-2</v>
      </c>
    </row>
    <row r="242" spans="1:18">
      <c r="A242" s="86">
        <f t="shared" ca="1" si="30"/>
        <v>-0.62463393746738571</v>
      </c>
      <c r="B242" s="86">
        <f t="shared" ca="1" si="30"/>
        <v>-0.43680524293596273</v>
      </c>
      <c r="G242" s="86">
        <f t="shared" ca="1" si="25"/>
        <v>-0.62463393746738571</v>
      </c>
      <c r="H242" s="86">
        <f t="shared" ca="1" si="26"/>
        <v>-0.63511346697230397</v>
      </c>
      <c r="O242" s="86">
        <f t="shared" ca="1" si="31"/>
        <v>92.802188160464027</v>
      </c>
      <c r="P242" s="86">
        <f t="shared" ca="1" si="31"/>
        <v>91.914844166427571</v>
      </c>
      <c r="Q242" s="86">
        <f t="shared" ca="1" si="28"/>
        <v>1.1831595677416731E-2</v>
      </c>
      <c r="R242" s="86">
        <f t="shared" ca="1" si="28"/>
        <v>1.2030430769671674E-2</v>
      </c>
    </row>
    <row r="243" spans="1:18">
      <c r="A243" s="86">
        <f t="shared" ca="1" si="30"/>
        <v>-1.4794655054808292</v>
      </c>
      <c r="B243" s="86">
        <f t="shared" ca="1" si="30"/>
        <v>-2.2550446704485587</v>
      </c>
      <c r="G243" s="86">
        <f t="shared" ca="1" si="25"/>
        <v>-1.4794655054808292</v>
      </c>
      <c r="H243" s="86">
        <f t="shared" ca="1" si="26"/>
        <v>-2.6400624339012602</v>
      </c>
      <c r="O243" s="86">
        <f t="shared" ca="1" si="31"/>
        <v>90.235176510157359</v>
      </c>
      <c r="P243" s="86">
        <f t="shared" ca="1" si="31"/>
        <v>87.425838920102265</v>
      </c>
      <c r="Q243" s="86">
        <f t="shared" ca="1" si="28"/>
        <v>2.8050884301830607E-2</v>
      </c>
      <c r="R243" s="86">
        <f t="shared" ca="1" si="28"/>
        <v>5.0071662737054462E-2</v>
      </c>
    </row>
    <row r="244" spans="1:18">
      <c r="A244" s="86">
        <f t="shared" ca="1" si="30"/>
        <v>0.2176430802222698</v>
      </c>
      <c r="B244" s="86">
        <f t="shared" ca="1" si="30"/>
        <v>1.1504451833696618</v>
      </c>
      <c r="G244" s="86">
        <f t="shared" ca="1" si="25"/>
        <v>0.2176430802222698</v>
      </c>
      <c r="H244" s="86">
        <f t="shared" ca="1" si="26"/>
        <v>1.150278739709194</v>
      </c>
      <c r="O244" s="86">
        <f t="shared" ref="O244:P259" ca="1" si="32">O243*EXP((0.05-0.3^2/2)*1/250+0.3*SQRT(1/250)*G244)</f>
        <v>90.610384132537931</v>
      </c>
      <c r="P244" s="86">
        <f t="shared" ca="1" si="32"/>
        <v>89.356669489325171</v>
      </c>
      <c r="Q244" s="86">
        <f t="shared" ca="1" si="28"/>
        <v>-4.1494871028627542E-3</v>
      </c>
      <c r="R244" s="86">
        <f t="shared" ca="1" si="28"/>
        <v>-2.1845004569294224E-2</v>
      </c>
    </row>
    <row r="245" spans="1:18">
      <c r="A245" s="86">
        <f t="shared" ca="1" si="30"/>
        <v>1.0713078451292033</v>
      </c>
      <c r="B245" s="86">
        <f t="shared" ca="1" si="30"/>
        <v>-5.8713406602099463E-2</v>
      </c>
      <c r="G245" s="86">
        <f t="shared" ca="1" si="25"/>
        <v>1.0713078451292033</v>
      </c>
      <c r="H245" s="86">
        <f t="shared" ca="1" si="26"/>
        <v>0.3374591032090194</v>
      </c>
      <c r="O245" s="86">
        <f t="shared" ca="1" si="32"/>
        <v>92.472884298564793</v>
      </c>
      <c r="P245" s="86">
        <f t="shared" ca="1" si="32"/>
        <v>89.93243980966173</v>
      </c>
      <c r="Q245" s="86">
        <f t="shared" ca="1" si="28"/>
        <v>-2.0346637194891215E-2</v>
      </c>
      <c r="R245" s="86">
        <f t="shared" ca="1" si="28"/>
        <v>-6.4228362997900031E-3</v>
      </c>
    </row>
    <row r="246" spans="1:18">
      <c r="A246" s="86">
        <f t="shared" ca="1" si="30"/>
        <v>-0.67433089928956325</v>
      </c>
      <c r="B246" s="86">
        <f t="shared" ca="1" si="30"/>
        <v>-1.1953678757199699</v>
      </c>
      <c r="G246" s="86">
        <f t="shared" ca="1" si="25"/>
        <v>-0.67433089928956325</v>
      </c>
      <c r="H246" s="86">
        <f t="shared" ca="1" si="26"/>
        <v>-1.3592322061141595</v>
      </c>
      <c r="O246" s="86">
        <f t="shared" ca="1" si="32"/>
        <v>91.299099968507193</v>
      </c>
      <c r="P246" s="86">
        <f t="shared" ca="1" si="32"/>
        <v>87.644521208861647</v>
      </c>
      <c r="Q246" s="86">
        <f t="shared" ca="1" si="28"/>
        <v>1.2774529230307729E-2</v>
      </c>
      <c r="R246" s="86">
        <f t="shared" ca="1" si="28"/>
        <v>2.576961784225721E-2</v>
      </c>
    </row>
    <row r="247" spans="1:18">
      <c r="A247" s="86">
        <f t="shared" ca="1" si="30"/>
        <v>1.7511022789872954</v>
      </c>
      <c r="B247" s="86">
        <f t="shared" ca="1" si="30"/>
        <v>0.42244854231561507</v>
      </c>
      <c r="G247" s="86">
        <f t="shared" ca="1" si="25"/>
        <v>1.7511022789872954</v>
      </c>
      <c r="H247" s="86">
        <f t="shared" ca="1" si="26"/>
        <v>1.0340403211668903</v>
      </c>
      <c r="O247" s="86">
        <f t="shared" ca="1" si="32"/>
        <v>94.385339510959199</v>
      </c>
      <c r="P247" s="86">
        <f t="shared" ca="1" si="32"/>
        <v>89.382832850349516</v>
      </c>
      <c r="Q247" s="86">
        <f t="shared" ca="1" si="28"/>
        <v>-3.3244829705068875E-2</v>
      </c>
      <c r="R247" s="86">
        <f t="shared" ca="1" si="28"/>
        <v>-1.9639535644036508E-2</v>
      </c>
    </row>
    <row r="248" spans="1:18">
      <c r="A248" s="86">
        <f t="shared" ca="1" si="30"/>
        <v>-1.0189843343979368</v>
      </c>
      <c r="B248" s="86">
        <f t="shared" ca="1" si="30"/>
        <v>-7.1609398936416227E-2</v>
      </c>
      <c r="G248" s="86">
        <f t="shared" ca="1" si="25"/>
        <v>-1.0189843343979368</v>
      </c>
      <c r="H248" s="86">
        <f t="shared" ca="1" si="26"/>
        <v>-0.43958903647636316</v>
      </c>
      <c r="O248" s="86">
        <f t="shared" ca="1" si="32"/>
        <v>92.579884767292114</v>
      </c>
      <c r="P248" s="86">
        <f t="shared" ca="1" si="32"/>
        <v>88.642198203562344</v>
      </c>
      <c r="Q248" s="86">
        <f t="shared" ca="1" si="28"/>
        <v>1.9313868380368995E-2</v>
      </c>
      <c r="R248" s="86">
        <f t="shared" ca="1" si="28"/>
        <v>8.3206155382248397E-3</v>
      </c>
    </row>
    <row r="249" spans="1:18">
      <c r="A249" s="86">
        <f t="shared" ca="1" si="30"/>
        <v>-0.67320676783413735</v>
      </c>
      <c r="B249" s="86">
        <f t="shared" ca="1" si="30"/>
        <v>0.82608229696754887</v>
      </c>
      <c r="G249" s="86">
        <f t="shared" ca="1" si="25"/>
        <v>-0.67320676783413735</v>
      </c>
      <c r="H249" s="86">
        <f t="shared" ca="1" si="26"/>
        <v>0.52237077627866824</v>
      </c>
      <c r="O249" s="86">
        <f t="shared" ca="1" si="32"/>
        <v>91.406691833105725</v>
      </c>
      <c r="P249" s="86">
        <f t="shared" ca="1" si="32"/>
        <v>89.526915376691832</v>
      </c>
      <c r="Q249" s="86">
        <f t="shared" ca="1" si="28"/>
        <v>1.2753200335576384E-2</v>
      </c>
      <c r="R249" s="86">
        <f t="shared" ca="1" si="28"/>
        <v>-9.9312886169050686E-3</v>
      </c>
    </row>
    <row r="250" spans="1:18">
      <c r="A250" s="86">
        <f t="shared" ca="1" si="30"/>
        <v>-9.0291631562458091E-2</v>
      </c>
      <c r="B250" s="86">
        <f t="shared" ca="1" si="30"/>
        <v>1.1319533411250959</v>
      </c>
      <c r="G250" s="86">
        <f t="shared" ca="1" si="25"/>
        <v>-9.0291631562458091E-2</v>
      </c>
      <c r="H250" s="86">
        <f t="shared" ca="1" si="26"/>
        <v>1.0203658521898005</v>
      </c>
      <c r="O250" s="86">
        <f t="shared" ca="1" si="32"/>
        <v>91.252056329628999</v>
      </c>
      <c r="P250" s="86">
        <f t="shared" ca="1" si="32"/>
        <v>91.278875968565643</v>
      </c>
      <c r="Q250" s="86">
        <f t="shared" ca="1" si="28"/>
        <v>1.6931632563408426E-3</v>
      </c>
      <c r="R250" s="86">
        <f t="shared" ca="1" si="28"/>
        <v>-1.938008083747075E-2</v>
      </c>
    </row>
    <row r="251" spans="1:18">
      <c r="A251" s="86">
        <f t="shared" ca="1" si="30"/>
        <v>0.60915458119573618</v>
      </c>
      <c r="B251" s="86">
        <f t="shared" ca="1" si="30"/>
        <v>0.1602473237643933</v>
      </c>
      <c r="G251" s="86">
        <f t="shared" ca="1" si="25"/>
        <v>0.60915458119573618</v>
      </c>
      <c r="H251" s="86">
        <f t="shared" ca="1" si="26"/>
        <v>0.37207911596815041</v>
      </c>
      <c r="O251" s="86">
        <f t="shared" ca="1" si="32"/>
        <v>92.314702840564024</v>
      </c>
      <c r="P251" s="86">
        <f t="shared" ca="1" si="32"/>
        <v>91.927396428094866</v>
      </c>
      <c r="Q251" s="86">
        <f t="shared" ca="1" si="28"/>
        <v>-1.1577895542226962E-2</v>
      </c>
      <c r="R251" s="86">
        <f t="shared" ca="1" si="28"/>
        <v>-7.0797048574478367E-3</v>
      </c>
    </row>
    <row r="252" spans="1:18">
      <c r="A252" s="86">
        <f t="shared" ca="1" si="30"/>
        <v>0.53439579702320072</v>
      </c>
      <c r="B252" s="86">
        <f t="shared" ca="1" si="30"/>
        <v>-0.75109527171332946</v>
      </c>
      <c r="G252" s="86">
        <f t="shared" ca="1" si="25"/>
        <v>0.53439579702320072</v>
      </c>
      <c r="H252" s="86">
        <f t="shared" ca="1" si="26"/>
        <v>-0.50339155229791288</v>
      </c>
      <c r="O252" s="86">
        <f t="shared" ca="1" si="32"/>
        <v>93.257349479691726</v>
      </c>
      <c r="P252" s="86">
        <f t="shared" ca="1" si="32"/>
        <v>91.055381841995342</v>
      </c>
      <c r="Q252" s="86">
        <f t="shared" ca="1" si="28"/>
        <v>-1.0159447343686108E-2</v>
      </c>
      <c r="R252" s="86">
        <f t="shared" ca="1" si="28"/>
        <v>9.5311831608949175E-3</v>
      </c>
    </row>
    <row r="253" spans="1:18">
      <c r="A253" s="86">
        <f t="shared" ca="1" si="30"/>
        <v>-0.41967438613973596</v>
      </c>
      <c r="B253" s="86">
        <f t="shared" ca="1" si="30"/>
        <v>-7.9883007992615825E-3</v>
      </c>
      <c r="G253" s="86">
        <f t="shared" ca="1" si="25"/>
        <v>-0.41967438613973596</v>
      </c>
      <c r="H253" s="86">
        <f t="shared" ca="1" si="26"/>
        <v>-0.16103485668132109</v>
      </c>
      <c r="O253" s="86">
        <f t="shared" ca="1" si="32"/>
        <v>92.519562495750108</v>
      </c>
      <c r="P253" s="86">
        <f t="shared" ca="1" si="32"/>
        <v>90.77940942929493</v>
      </c>
      <c r="Q253" s="86">
        <f t="shared" ca="1" si="28"/>
        <v>7.9427616150074369E-3</v>
      </c>
      <c r="R253" s="86">
        <f t="shared" ca="1" si="28"/>
        <v>3.0354215787505097E-3</v>
      </c>
    </row>
    <row r="254" spans="1:18">
      <c r="A254" s="86">
        <f t="shared" ca="1" si="30"/>
        <v>1.026623009876988</v>
      </c>
      <c r="B254" s="86">
        <f t="shared" ca="1" si="30"/>
        <v>-1.6214518681689485</v>
      </c>
      <c r="G254" s="86">
        <f t="shared" ca="1" si="25"/>
        <v>1.026623009876988</v>
      </c>
      <c r="H254" s="86">
        <f t="shared" ca="1" si="26"/>
        <v>-1.1332031662991584</v>
      </c>
      <c r="O254" s="86">
        <f t="shared" ca="1" si="32"/>
        <v>94.341286127118153</v>
      </c>
      <c r="P254" s="86">
        <f t="shared" ca="1" si="32"/>
        <v>88.850170463116982</v>
      </c>
      <c r="Q254" s="86">
        <f t="shared" ca="1" si="28"/>
        <v>-1.9498802057292965E-2</v>
      </c>
      <c r="R254" s="86">
        <f t="shared" ca="1" si="28"/>
        <v>2.1481018343319374E-2</v>
      </c>
    </row>
    <row r="255" spans="1:18">
      <c r="A255" s="86">
        <f t="shared" ca="1" si="30"/>
        <v>-0.77050223928784578</v>
      </c>
      <c r="B255" s="86">
        <f t="shared" ca="1" si="30"/>
        <v>-0.72955251205544946</v>
      </c>
      <c r="G255" s="86">
        <f t="shared" ca="1" si="25"/>
        <v>-0.77050223928784578</v>
      </c>
      <c r="H255" s="86">
        <f t="shared" ca="1" si="26"/>
        <v>-0.96093622152904645</v>
      </c>
      <c r="O255" s="86">
        <f t="shared" ca="1" si="32"/>
        <v>92.973979022447608</v>
      </c>
      <c r="P255" s="86">
        <f t="shared" ca="1" si="32"/>
        <v>87.246634761604653</v>
      </c>
      <c r="Q255" s="86">
        <f t="shared" ca="1" si="28"/>
        <v>1.4599252110457969E-2</v>
      </c>
      <c r="R255" s="86">
        <f t="shared" ca="1" si="28"/>
        <v>1.8212482877127446E-2</v>
      </c>
    </row>
    <row r="256" spans="1:18">
      <c r="A256" s="86">
        <f t="shared" ca="1" si="30"/>
        <v>2.1116375671238661</v>
      </c>
      <c r="B256" s="86">
        <f t="shared" ca="1" si="30"/>
        <v>-2.1343028886502706</v>
      </c>
      <c r="G256" s="86">
        <f t="shared" ca="1" si="25"/>
        <v>2.1116375671238661</v>
      </c>
      <c r="H256" s="86">
        <f t="shared" ca="1" si="26"/>
        <v>-1.2133546141087521</v>
      </c>
      <c r="O256" s="86">
        <f t="shared" ca="1" si="32"/>
        <v>96.776593695235363</v>
      </c>
      <c r="P256" s="86">
        <f t="shared" ca="1" si="32"/>
        <v>85.262710781944477</v>
      </c>
      <c r="Q256" s="86">
        <f t="shared" ca="1" si="28"/>
        <v>-4.0085505829328613E-2</v>
      </c>
      <c r="R256" s="86">
        <f t="shared" ca="1" si="28"/>
        <v>2.300178514035001E-2</v>
      </c>
    </row>
    <row r="257" spans="1:18">
      <c r="A257" s="86">
        <f t="shared" ca="1" si="30"/>
        <v>-4.1386923440105777E-2</v>
      </c>
      <c r="B257" s="86">
        <f t="shared" ca="1" si="30"/>
        <v>-0.32336076570193734</v>
      </c>
      <c r="G257" s="86">
        <f t="shared" ca="1" si="25"/>
        <v>-4.1386923440105777E-2</v>
      </c>
      <c r="H257" s="86">
        <f t="shared" ca="1" si="26"/>
        <v>-0.31607194461536708</v>
      </c>
      <c r="O257" s="86">
        <f t="shared" ca="1" si="32"/>
        <v>96.702562608634992</v>
      </c>
      <c r="P257" s="86">
        <f t="shared" ca="1" si="32"/>
        <v>84.754611828374692</v>
      </c>
      <c r="Q257" s="86">
        <f t="shared" ca="1" si="28"/>
        <v>7.6526166050656539E-4</v>
      </c>
      <c r="R257" s="86">
        <f t="shared" ca="1" si="28"/>
        <v>5.9770434967789093E-3</v>
      </c>
    </row>
    <row r="258" spans="1:18">
      <c r="A258" s="86">
        <f t="shared" ca="1" si="30"/>
        <v>1.3361902366999316</v>
      </c>
      <c r="B258" s="86">
        <f t="shared" ca="1" si="30"/>
        <v>-0.27017045383917937</v>
      </c>
      <c r="G258" s="86">
        <f t="shared" ca="1" si="25"/>
        <v>1.3361902366999316</v>
      </c>
      <c r="H258" s="86">
        <f t="shared" ca="1" si="26"/>
        <v>0.23762099011892029</v>
      </c>
      <c r="O258" s="86">
        <f t="shared" ca="1" si="32"/>
        <v>99.187532894483837</v>
      </c>
      <c r="P258" s="86">
        <f t="shared" ca="1" si="32"/>
        <v>85.139296961551793</v>
      </c>
      <c r="Q258" s="86">
        <f t="shared" ca="1" si="28"/>
        <v>-2.5372427211507859E-2</v>
      </c>
      <c r="R258" s="86">
        <f t="shared" ca="1" si="28"/>
        <v>-4.5285412918408046E-3</v>
      </c>
    </row>
    <row r="259" spans="1:18">
      <c r="A259" s="86">
        <f t="shared" ca="1" si="30"/>
        <v>0.4427984980600545</v>
      </c>
      <c r="B259" s="86">
        <f t="shared" ca="1" si="30"/>
        <v>0.20110297052772083</v>
      </c>
      <c r="G259" s="86">
        <f t="shared" ref="G259:G300" ca="1" si="33">A259</f>
        <v>0.4427984980600545</v>
      </c>
      <c r="H259" s="86">
        <f t="shared" ref="H259:H300" ca="1" si="34">$K$1*G259+SQRT(1-$K$1^2)*B259</f>
        <v>0.34921366114585933</v>
      </c>
      <c r="O259" s="86">
        <f t="shared" ca="1" si="32"/>
        <v>100.02636894880813</v>
      </c>
      <c r="P259" s="86">
        <f t="shared" ca="1" si="32"/>
        <v>85.70700546239101</v>
      </c>
      <c r="Q259" s="86">
        <f t="shared" ca="1" si="28"/>
        <v>-8.421510790228617E-3</v>
      </c>
      <c r="R259" s="86">
        <f t="shared" ca="1" si="28"/>
        <v>-6.6458633556029266E-3</v>
      </c>
    </row>
    <row r="260" spans="1:18">
      <c r="A260" s="86">
        <f t="shared" ca="1" si="30"/>
        <v>-0.47729540048017571</v>
      </c>
      <c r="B260" s="86">
        <f t="shared" ca="1" si="30"/>
        <v>-0.61000649333101364</v>
      </c>
      <c r="G260" s="86">
        <f t="shared" ca="1" si="33"/>
        <v>-0.47729540048017571</v>
      </c>
      <c r="H260" s="86">
        <f t="shared" ca="1" si="34"/>
        <v>-0.74237121818047436</v>
      </c>
      <c r="O260" s="86">
        <f t="shared" ref="O260:P275" ca="1" si="35">O259*EXP((0.05-0.3^2/2)*1/250+0.3*SQRT(1/250)*G260)</f>
        <v>99.126597637041485</v>
      </c>
      <c r="P260" s="86">
        <f t="shared" ca="1" si="35"/>
        <v>84.509931733882553</v>
      </c>
      <c r="Q260" s="86">
        <f t="shared" ref="Q260:R300" ca="1" si="36">LN(O259/O260)</f>
        <v>9.0360434934375154E-3</v>
      </c>
      <c r="R260" s="86">
        <f t="shared" ca="1" si="36"/>
        <v>1.4065503512824581E-2</v>
      </c>
    </row>
    <row r="261" spans="1:18">
      <c r="A261" s="86">
        <f t="shared" ca="1" si="30"/>
        <v>0.45725355945545965</v>
      </c>
      <c r="B261" s="86">
        <f t="shared" ca="1" si="30"/>
        <v>-0.13412596823314568</v>
      </c>
      <c r="G261" s="86">
        <f t="shared" ca="1" si="33"/>
        <v>0.45725355945545965</v>
      </c>
      <c r="H261" s="86">
        <f t="shared" ca="1" si="34"/>
        <v>4.2535184883161672E-2</v>
      </c>
      <c r="O261" s="86">
        <f t="shared" ca="1" si="35"/>
        <v>99.992339046593202</v>
      </c>
      <c r="P261" s="86">
        <f t="shared" ca="1" si="35"/>
        <v>84.579854447573354</v>
      </c>
      <c r="Q261" s="86">
        <f t="shared" ca="1" si="36"/>
        <v>-8.6957762965907143E-3</v>
      </c>
      <c r="R261" s="86">
        <f t="shared" ca="1" si="36"/>
        <v>-8.2704838956278236E-4</v>
      </c>
    </row>
    <row r="262" spans="1:18">
      <c r="A262" s="86">
        <f t="shared" ca="1" si="30"/>
        <v>-0.84857271826883018</v>
      </c>
      <c r="B262" s="86">
        <f t="shared" ca="1" si="30"/>
        <v>-0.26479900276103235</v>
      </c>
      <c r="G262" s="86">
        <f t="shared" ca="1" si="33"/>
        <v>-0.84857271826883018</v>
      </c>
      <c r="H262" s="86">
        <f t="shared" ca="1" si="34"/>
        <v>-0.55700349925750536</v>
      </c>
      <c r="O262" s="86">
        <f t="shared" ca="1" si="35"/>
        <v>98.397267879381843</v>
      </c>
      <c r="P262" s="86">
        <f t="shared" ca="1" si="35"/>
        <v>83.692361495582091</v>
      </c>
      <c r="Q262" s="86">
        <f t="shared" ca="1" si="36"/>
        <v>1.6080535300059231E-2</v>
      </c>
      <c r="R262" s="86">
        <f t="shared" ca="1" si="36"/>
        <v>1.054839833402575E-2</v>
      </c>
    </row>
    <row r="263" spans="1:18">
      <c r="A263" s="86">
        <f t="shared" ca="1" si="30"/>
        <v>0.91753739125502698</v>
      </c>
      <c r="B263" s="86">
        <f t="shared" ca="1" si="30"/>
        <v>0.47193965561277673</v>
      </c>
      <c r="G263" s="86">
        <f t="shared" ca="1" si="33"/>
        <v>0.91753739125502698</v>
      </c>
      <c r="H263" s="86">
        <f t="shared" ca="1" si="34"/>
        <v>0.77501273725976416</v>
      </c>
      <c r="O263" s="86">
        <f t="shared" ca="1" si="35"/>
        <v>100.12727094077219</v>
      </c>
      <c r="P263" s="86">
        <f t="shared" ca="1" si="35"/>
        <v>84.933835340634346</v>
      </c>
      <c r="Q263" s="86">
        <f t="shared" ca="1" si="36"/>
        <v>-1.7429047968409613E-2</v>
      </c>
      <c r="R263" s="86">
        <f t="shared" ca="1" si="36"/>
        <v>-1.4724832792294897E-2</v>
      </c>
    </row>
    <row r="264" spans="1:18">
      <c r="A264" s="86">
        <f t="shared" ca="1" si="30"/>
        <v>0.62384633036198245</v>
      </c>
      <c r="B264" s="86">
        <f t="shared" ca="1" si="30"/>
        <v>0.22202852379709667</v>
      </c>
      <c r="G264" s="86">
        <f t="shared" ca="1" si="33"/>
        <v>0.62384633036198245</v>
      </c>
      <c r="H264" s="86">
        <f t="shared" ca="1" si="34"/>
        <v>0.43495079839609946</v>
      </c>
      <c r="O264" s="86">
        <f t="shared" ca="1" si="35"/>
        <v>101.32151099009708</v>
      </c>
      <c r="P264" s="86">
        <f t="shared" ca="1" si="35"/>
        <v>85.639374235362808</v>
      </c>
      <c r="Q264" s="86">
        <f t="shared" ca="1" si="36"/>
        <v>-1.1856651883290289E-2</v>
      </c>
      <c r="R264" s="86">
        <f t="shared" ca="1" si="36"/>
        <v>-8.2726111582423299E-3</v>
      </c>
    </row>
    <row r="265" spans="1:18">
      <c r="A265" s="86">
        <f t="shared" ca="1" si="30"/>
        <v>-1.0705159651106837</v>
      </c>
      <c r="B265" s="86">
        <f t="shared" ca="1" si="30"/>
        <v>-0.37469453205450853</v>
      </c>
      <c r="G265" s="86">
        <f t="shared" ca="1" si="33"/>
        <v>-1.0705159651106837</v>
      </c>
      <c r="H265" s="86">
        <f t="shared" ca="1" si="34"/>
        <v>-0.74050513916739469</v>
      </c>
      <c r="O265" s="86">
        <f t="shared" ca="1" si="35"/>
        <v>99.286253332512217</v>
      </c>
      <c r="P265" s="86">
        <f t="shared" ca="1" si="35"/>
        <v>84.446234996199038</v>
      </c>
      <c r="Q265" s="86">
        <f t="shared" ca="1" si="36"/>
        <v>2.029161232793877E-2</v>
      </c>
      <c r="R265" s="86">
        <f t="shared" ca="1" si="36"/>
        <v>1.403009715297354E-2</v>
      </c>
    </row>
    <row r="266" spans="1:18">
      <c r="A266" s="86">
        <f t="shared" ca="1" si="30"/>
        <v>0.33429645540632325</v>
      </c>
      <c r="B266" s="86">
        <f t="shared" ca="1" si="30"/>
        <v>7.125435896937396E-2</v>
      </c>
      <c r="G266" s="86">
        <f t="shared" ca="1" si="33"/>
        <v>0.33429645540632325</v>
      </c>
      <c r="H266" s="86">
        <f t="shared" ca="1" si="34"/>
        <v>0.18866286729957654</v>
      </c>
      <c r="O266" s="86">
        <f t="shared" ca="1" si="35"/>
        <v>99.920008913121407</v>
      </c>
      <c r="P266" s="86">
        <f t="shared" ca="1" si="35"/>
        <v>84.750757633176534</v>
      </c>
      <c r="Q266" s="86">
        <f t="shared" ca="1" si="36"/>
        <v>-6.3628292768293628E-3</v>
      </c>
      <c r="R266" s="86">
        <f t="shared" ca="1" si="36"/>
        <v>-3.5996262233884196E-3</v>
      </c>
    </row>
    <row r="267" spans="1:18">
      <c r="A267" s="86">
        <f t="shared" ca="1" si="30"/>
        <v>0.48967508555714745</v>
      </c>
      <c r="B267" s="86">
        <f t="shared" ca="1" si="30"/>
        <v>0.93784902094009504</v>
      </c>
      <c r="G267" s="86">
        <f t="shared" ca="1" si="33"/>
        <v>0.48967508555714745</v>
      </c>
      <c r="H267" s="86">
        <f t="shared" ca="1" si="34"/>
        <v>1.0519973077421974</v>
      </c>
      <c r="O267" s="86">
        <f t="shared" ca="1" si="35"/>
        <v>100.8547019506571</v>
      </c>
      <c r="P267" s="86">
        <f t="shared" ca="1" si="35"/>
        <v>86.46112849319293</v>
      </c>
      <c r="Q267" s="86">
        <f t="shared" ca="1" si="36"/>
        <v>-9.3109315027903664E-3</v>
      </c>
      <c r="R267" s="86">
        <f t="shared" ca="1" si="36"/>
        <v>-1.9980245508982628E-2</v>
      </c>
    </row>
    <row r="268" spans="1:18">
      <c r="A268" s="86">
        <f t="shared" ca="1" si="30"/>
        <v>0.45028205948816641</v>
      </c>
      <c r="B268" s="86">
        <f t="shared" ca="1" si="30"/>
        <v>-0.6253951934458446</v>
      </c>
      <c r="G268" s="86">
        <f t="shared" ca="1" si="33"/>
        <v>0.45028205948816641</v>
      </c>
      <c r="H268" s="86">
        <f t="shared" ca="1" si="34"/>
        <v>-0.41719882068905256</v>
      </c>
      <c r="O268" s="86">
        <f t="shared" ca="1" si="35"/>
        <v>101.72207992608585</v>
      </c>
      <c r="P268" s="86">
        <f t="shared" ca="1" si="35"/>
        <v>85.781137553473371</v>
      </c>
      <c r="Q268" s="86">
        <f t="shared" ca="1" si="36"/>
        <v>-8.5635013849643376E-3</v>
      </c>
      <c r="R268" s="86">
        <f t="shared" ca="1" si="36"/>
        <v>7.8957910630815635E-3</v>
      </c>
    </row>
    <row r="269" spans="1:18">
      <c r="A269" s="86">
        <f t="shared" ca="1" si="30"/>
        <v>-0.93208463020159638</v>
      </c>
      <c r="B269" s="86">
        <f t="shared" ca="1" si="30"/>
        <v>1.1103574740161835</v>
      </c>
      <c r="G269" s="86">
        <f t="shared" ca="1" si="33"/>
        <v>-0.93208463020159638</v>
      </c>
      <c r="H269" s="86">
        <f t="shared" ca="1" si="34"/>
        <v>0.69217218004656245</v>
      </c>
      <c r="O269" s="86">
        <f t="shared" ca="1" si="35"/>
        <v>99.940931402241205</v>
      </c>
      <c r="P269" s="86">
        <f t="shared" ca="1" si="35"/>
        <v>86.916873425143208</v>
      </c>
      <c r="Q269" s="86">
        <f t="shared" ca="1" si="36"/>
        <v>1.7665062420836805E-2</v>
      </c>
      <c r="R269" s="86">
        <f t="shared" ca="1" si="36"/>
        <v>-1.3153043731707774E-2</v>
      </c>
    </row>
    <row r="270" spans="1:18">
      <c r="A270" s="86">
        <f t="shared" ca="1" si="30"/>
        <v>1.2521119705483694</v>
      </c>
      <c r="B270" s="86">
        <f t="shared" ca="1" si="30"/>
        <v>1.8386321108586401</v>
      </c>
      <c r="G270" s="86">
        <f t="shared" ca="1" si="33"/>
        <v>1.2521119705483694</v>
      </c>
      <c r="H270" s="86">
        <f t="shared" ca="1" si="34"/>
        <v>2.1693313282204283</v>
      </c>
      <c r="O270" s="86">
        <f t="shared" ca="1" si="35"/>
        <v>102.34571854898829</v>
      </c>
      <c r="P270" s="86">
        <f t="shared" ca="1" si="35"/>
        <v>90.570844081578301</v>
      </c>
      <c r="Q270" s="86">
        <f t="shared" ca="1" si="36"/>
        <v>-2.3777154274967009E-2</v>
      </c>
      <c r="R270" s="86">
        <f t="shared" ca="1" si="36"/>
        <v>-4.1180167980409126E-2</v>
      </c>
    </row>
    <row r="271" spans="1:18">
      <c r="A271" s="86">
        <f t="shared" ca="1" si="30"/>
        <v>0.53416313745822497</v>
      </c>
      <c r="B271" s="86">
        <f t="shared" ca="1" si="30"/>
        <v>1.4715366108414174</v>
      </c>
      <c r="G271" s="86">
        <f t="shared" ca="1" si="33"/>
        <v>0.53416313745822497</v>
      </c>
      <c r="H271" s="86">
        <f t="shared" ca="1" si="34"/>
        <v>1.5649375314359923</v>
      </c>
      <c r="O271" s="86">
        <f t="shared" ca="1" si="35"/>
        <v>103.39033778622705</v>
      </c>
      <c r="P271" s="86">
        <f t="shared" ca="1" si="35"/>
        <v>93.302318171900808</v>
      </c>
      <c r="Q271" s="86">
        <f t="shared" ca="1" si="36"/>
        <v>-1.0155032938817511E-2</v>
      </c>
      <c r="R271" s="86">
        <f t="shared" ca="1" si="36"/>
        <v>-2.971260197131436E-2</v>
      </c>
    </row>
    <row r="272" spans="1:18">
      <c r="A272" s="86">
        <f t="shared" ca="1" si="30"/>
        <v>1.3006595209424801</v>
      </c>
      <c r="B272" s="86">
        <f t="shared" ca="1" si="30"/>
        <v>-1.8370617932241409</v>
      </c>
      <c r="G272" s="86">
        <f t="shared" ca="1" si="33"/>
        <v>1.3006595209424801</v>
      </c>
      <c r="H272" s="86">
        <f t="shared" ca="1" si="34"/>
        <v>-1.233555601424086</v>
      </c>
      <c r="O272" s="86">
        <f t="shared" ca="1" si="35"/>
        <v>105.97569676049618</v>
      </c>
      <c r="P272" s="86">
        <f t="shared" ca="1" si="35"/>
        <v>91.14575077027186</v>
      </c>
      <c r="Q272" s="86">
        <f t="shared" ca="1" si="36"/>
        <v>-2.4698279279370149E-2</v>
      </c>
      <c r="R272" s="86">
        <f t="shared" ca="1" si="36"/>
        <v>2.3385071925753651E-2</v>
      </c>
    </row>
    <row r="273" spans="1:18">
      <c r="A273" s="86">
        <f t="shared" ca="1" si="30"/>
        <v>1.3642171859868679</v>
      </c>
      <c r="B273" s="86">
        <f t="shared" ca="1" si="30"/>
        <v>1.6573269329961939</v>
      </c>
      <c r="G273" s="86">
        <f t="shared" ca="1" si="33"/>
        <v>1.3642171859868679</v>
      </c>
      <c r="H273" s="86">
        <f t="shared" ca="1" si="34"/>
        <v>2.0416365460767709</v>
      </c>
      <c r="O273" s="86">
        <f t="shared" ca="1" si="35"/>
        <v>108.75677785881062</v>
      </c>
      <c r="P273" s="86">
        <f t="shared" ca="1" si="35"/>
        <v>94.747666139656502</v>
      </c>
      <c r="Q273" s="86">
        <f t="shared" ca="1" si="36"/>
        <v>-2.5904201185184276E-2</v>
      </c>
      <c r="R273" s="86">
        <f t="shared" ca="1" si="36"/>
        <v>-3.8757329839051356E-2</v>
      </c>
    </row>
    <row r="274" spans="1:18">
      <c r="A274" s="86">
        <f t="shared" ca="1" si="30"/>
        <v>-0.10035763727521416</v>
      </c>
      <c r="B274" s="86">
        <f t="shared" ca="1" si="30"/>
        <v>1.4577764423395791</v>
      </c>
      <c r="G274" s="86">
        <f t="shared" ca="1" si="33"/>
        <v>-0.10035763727521416</v>
      </c>
      <c r="H274" s="86">
        <f t="shared" ca="1" si="34"/>
        <v>1.3198975107301472</v>
      </c>
      <c r="O274" s="86">
        <f t="shared" ca="1" si="35"/>
        <v>108.55205645087607</v>
      </c>
      <c r="P274" s="86">
        <f t="shared" ca="1" si="35"/>
        <v>97.152363740293524</v>
      </c>
      <c r="Q274" s="86">
        <f t="shared" ca="1" si="36"/>
        <v>1.8841522862962446E-3</v>
      </c>
      <c r="R274" s="86">
        <f t="shared" ca="1" si="36"/>
        <v>-2.5063294471362744E-2</v>
      </c>
    </row>
    <row r="275" spans="1:18">
      <c r="A275" s="86">
        <f t="shared" ca="1" si="30"/>
        <v>-1.1053505083638622</v>
      </c>
      <c r="B275" s="86">
        <f t="shared" ca="1" si="30"/>
        <v>-1.16557838935893</v>
      </c>
      <c r="G275" s="86">
        <f t="shared" ca="1" si="33"/>
        <v>-1.1053505083638622</v>
      </c>
      <c r="H275" s="86">
        <f t="shared" ca="1" si="34"/>
        <v>-1.4892628446385401</v>
      </c>
      <c r="O275" s="86">
        <f t="shared" ca="1" si="35"/>
        <v>106.30127605575858</v>
      </c>
      <c r="P275" s="86">
        <f t="shared" ca="1" si="35"/>
        <v>94.447462792490867</v>
      </c>
      <c r="Q275" s="86">
        <f t="shared" ca="1" si="36"/>
        <v>2.0952551315528794E-2</v>
      </c>
      <c r="R275" s="86">
        <f t="shared" ca="1" si="36"/>
        <v>2.8236775742315562E-2</v>
      </c>
    </row>
    <row r="276" spans="1:18">
      <c r="A276" s="86">
        <f t="shared" ca="1" si="30"/>
        <v>0.83214616293190069</v>
      </c>
      <c r="B276" s="86">
        <f t="shared" ca="1" si="30"/>
        <v>0.16765885244270043</v>
      </c>
      <c r="G276" s="86">
        <f t="shared" ca="1" si="33"/>
        <v>0.83214616293190069</v>
      </c>
      <c r="H276" s="86">
        <f t="shared" ca="1" si="34"/>
        <v>0.46059131353664085</v>
      </c>
      <c r="O276" s="86">
        <f t="shared" ref="O276:P291" ca="1" si="37">O275*EXP((0.05-0.3^2/2)*1/250+0.3*SQRT(1/250)*G276)</f>
        <v>107.99513209236321</v>
      </c>
      <c r="P276" s="86">
        <f t="shared" ca="1" si="37"/>
        <v>95.278371802320876</v>
      </c>
      <c r="Q276" s="86">
        <f t="shared" ca="1" si="36"/>
        <v>-1.5808863326206225E-2</v>
      </c>
      <c r="R276" s="86">
        <f t="shared" ca="1" si="36"/>
        <v>-8.7591057275871968E-3</v>
      </c>
    </row>
    <row r="277" spans="1:18">
      <c r="A277" s="86">
        <f t="shared" ca="1" si="30"/>
        <v>0.54197903357528554</v>
      </c>
      <c r="B277" s="86">
        <f t="shared" ca="1" si="30"/>
        <v>0.70470931453328622</v>
      </c>
      <c r="G277" s="86">
        <f t="shared" ca="1" si="33"/>
        <v>0.54197903357528554</v>
      </c>
      <c r="H277" s="86">
        <f t="shared" ca="1" si="34"/>
        <v>0.85417727968983426</v>
      </c>
      <c r="O277" s="86">
        <f t="shared" ca="1" si="37"/>
        <v>109.11359352757138</v>
      </c>
      <c r="P277" s="86">
        <f t="shared" ca="1" si="37"/>
        <v>96.837054041356566</v>
      </c>
      <c r="Q277" s="86">
        <f t="shared" ca="1" si="36"/>
        <v>-1.0303329140928595E-2</v>
      </c>
      <c r="R277" s="86">
        <f t="shared" ca="1" si="36"/>
        <v>-1.622687437631946E-2</v>
      </c>
    </row>
    <row r="278" spans="1:18">
      <c r="A278" s="86">
        <f t="shared" ca="1" si="30"/>
        <v>0.17445350191254771</v>
      </c>
      <c r="B278" s="86">
        <f t="shared" ca="1" si="30"/>
        <v>0.63024807316317943</v>
      </c>
      <c r="G278" s="86">
        <f t="shared" ca="1" si="33"/>
        <v>0.17445350191254771</v>
      </c>
      <c r="H278" s="86">
        <f t="shared" ca="1" si="34"/>
        <v>0.65036819809443114</v>
      </c>
      <c r="O278" s="86">
        <f t="shared" ca="1" si="37"/>
        <v>109.47754990103522</v>
      </c>
      <c r="P278" s="86">
        <f t="shared" ca="1" si="37"/>
        <v>98.041374628779081</v>
      </c>
      <c r="Q278" s="86">
        <f t="shared" ca="1" si="36"/>
        <v>-3.3300224710171855E-3</v>
      </c>
      <c r="R278" s="86">
        <f t="shared" ca="1" si="36"/>
        <v>-1.2359868942307783E-2</v>
      </c>
    </row>
    <row r="279" spans="1:18">
      <c r="A279" s="86">
        <f t="shared" ca="1" si="30"/>
        <v>9.0459895213348046E-2</v>
      </c>
      <c r="B279" s="86">
        <f t="shared" ca="1" si="30"/>
        <v>-1.8930905465855887</v>
      </c>
      <c r="G279" s="86">
        <f t="shared" ca="1" si="33"/>
        <v>9.0459895213348046E-2</v>
      </c>
      <c r="H279" s="86">
        <f t="shared" ca="1" si="34"/>
        <v>-1.7286298543749823</v>
      </c>
      <c r="O279" s="86">
        <f t="shared" ca="1" si="37"/>
        <v>109.66780701279066</v>
      </c>
      <c r="P279" s="86">
        <f t="shared" ca="1" si="37"/>
        <v>94.879829119987193</v>
      </c>
      <c r="Q279" s="86">
        <f t="shared" ca="1" si="36"/>
        <v>-1.7363558346460807E-3</v>
      </c>
      <c r="R279" s="86">
        <f t="shared" ca="1" si="36"/>
        <v>3.2778445427140895E-2</v>
      </c>
    </row>
    <row r="280" spans="1:18">
      <c r="A280" s="86">
        <f t="shared" ca="1" si="30"/>
        <v>-0.74375839465868754</v>
      </c>
      <c r="B280" s="86">
        <f t="shared" ca="1" si="30"/>
        <v>1.1535192210851413</v>
      </c>
      <c r="G280" s="86">
        <f t="shared" ca="1" si="33"/>
        <v>-0.74375839465868754</v>
      </c>
      <c r="H280" s="86">
        <f t="shared" ca="1" si="34"/>
        <v>0.80126654505183348</v>
      </c>
      <c r="O280" s="86">
        <f t="shared" ca="1" si="37"/>
        <v>108.13322557062934</v>
      </c>
      <c r="P280" s="86">
        <f t="shared" ca="1" si="37"/>
        <v>96.3352309802669</v>
      </c>
      <c r="Q280" s="86">
        <f t="shared" ca="1" si="36"/>
        <v>1.4091823335951147E-2</v>
      </c>
      <c r="R280" s="86">
        <f t="shared" ca="1" si="36"/>
        <v>-1.5222963771546224E-2</v>
      </c>
    </row>
    <row r="281" spans="1:18">
      <c r="A281" s="86">
        <f t="shared" ca="1" si="30"/>
        <v>-8.7726430169872374E-2</v>
      </c>
      <c r="B281" s="86">
        <f t="shared" ca="1" si="30"/>
        <v>-0.18063015651801026</v>
      </c>
      <c r="G281" s="86">
        <f t="shared" ca="1" si="33"/>
        <v>-8.7726430169872374E-2</v>
      </c>
      <c r="H281" s="86">
        <f t="shared" ca="1" si="34"/>
        <v>-0.20020497954877409</v>
      </c>
      <c r="O281" s="86">
        <f t="shared" ca="1" si="37"/>
        <v>107.95554748332817</v>
      </c>
      <c r="P281" s="86">
        <f t="shared" ca="1" si="37"/>
        <v>95.971903389214475</v>
      </c>
      <c r="Q281" s="86">
        <f t="shared" ca="1" si="36"/>
        <v>1.6444919819949759E-3</v>
      </c>
      <c r="R281" s="86">
        <f t="shared" ca="1" si="36"/>
        <v>3.7786224056894002E-3</v>
      </c>
    </row>
    <row r="282" spans="1:18">
      <c r="A282" s="86">
        <f t="shared" ca="1" si="30"/>
        <v>0.69425379290198197</v>
      </c>
      <c r="B282" s="86">
        <f t="shared" ca="1" si="30"/>
        <v>0.36931501495438912</v>
      </c>
      <c r="G282" s="86">
        <f t="shared" ca="1" si="33"/>
        <v>0.69425379290198197</v>
      </c>
      <c r="H282" s="86">
        <f t="shared" ca="1" si="34"/>
        <v>0.5977869256370365</v>
      </c>
      <c r="O282" s="86">
        <f t="shared" ca="1" si="37"/>
        <v>109.3891912220265</v>
      </c>
      <c r="P282" s="86">
        <f t="shared" ca="1" si="37"/>
        <v>97.068574762761457</v>
      </c>
      <c r="Q282" s="86">
        <f t="shared" ca="1" si="36"/>
        <v>-1.3192539558686546E-2</v>
      </c>
      <c r="R282" s="86">
        <f t="shared" ca="1" si="36"/>
        <v>-1.1362209442896566E-2</v>
      </c>
    </row>
    <row r="283" spans="1:18">
      <c r="A283" s="86">
        <f t="shared" ca="1" si="30"/>
        <v>0.46992556382845785</v>
      </c>
      <c r="B283" s="86">
        <f t="shared" ca="1" si="30"/>
        <v>-0.7002458322207471</v>
      </c>
      <c r="G283" s="86">
        <f t="shared" ca="1" si="33"/>
        <v>0.46992556382845785</v>
      </c>
      <c r="H283" s="86">
        <f t="shared" ca="1" si="34"/>
        <v>-0.47966641411500199</v>
      </c>
      <c r="O283" s="86">
        <f t="shared" ca="1" si="37"/>
        <v>110.37109680364858</v>
      </c>
      <c r="P283" s="86">
        <f t="shared" ca="1" si="37"/>
        <v>96.191082390408525</v>
      </c>
      <c r="Q283" s="86">
        <f t="shared" ca="1" si="36"/>
        <v>-8.936210674620736E-3</v>
      </c>
      <c r="R283" s="86">
        <f t="shared" ca="1" si="36"/>
        <v>9.0810303141337333E-3</v>
      </c>
    </row>
    <row r="284" spans="1:18">
      <c r="A284" s="86">
        <f t="shared" ref="A284:B300" ca="1" si="38">_xlfn.NORM.S.INV(RAND())</f>
        <v>-0.63492000774020052</v>
      </c>
      <c r="B284" s="86">
        <f t="shared" ca="1" si="38"/>
        <v>2.4559315769629775</v>
      </c>
      <c r="G284" s="86">
        <f t="shared" ca="1" si="33"/>
        <v>-0.63492000774020052</v>
      </c>
      <c r="H284" s="86">
        <f t="shared" ca="1" si="34"/>
        <v>2.0531456745388019</v>
      </c>
      <c r="O284" s="86">
        <f t="shared" ca="1" si="37"/>
        <v>109.05164039314847</v>
      </c>
      <c r="P284" s="86">
        <f t="shared" ca="1" si="37"/>
        <v>100.01421790468576</v>
      </c>
      <c r="Q284" s="86">
        <f t="shared" ca="1" si="36"/>
        <v>1.2026760138824638E-2</v>
      </c>
      <c r="R284" s="86">
        <f t="shared" ca="1" si="36"/>
        <v>-3.8975700197992333E-2</v>
      </c>
    </row>
    <row r="285" spans="1:18">
      <c r="A285" s="86">
        <f t="shared" ca="1" si="38"/>
        <v>0.39308927354302209</v>
      </c>
      <c r="B285" s="86">
        <f t="shared" ca="1" si="38"/>
        <v>0.61012427675190184</v>
      </c>
      <c r="G285" s="86">
        <f t="shared" ca="1" si="33"/>
        <v>0.39308927354302209</v>
      </c>
      <c r="H285" s="86">
        <f t="shared" ca="1" si="34"/>
        <v>0.71166138672209933</v>
      </c>
      <c r="O285" s="86">
        <f t="shared" ca="1" si="37"/>
        <v>109.87022314278325</v>
      </c>
      <c r="P285" s="86">
        <f t="shared" ca="1" si="37"/>
        <v>101.37587871439129</v>
      </c>
      <c r="Q285" s="86">
        <f t="shared" ca="1" si="36"/>
        <v>-7.4783445690615657E-3</v>
      </c>
      <c r="R285" s="86">
        <f t="shared" ca="1" si="36"/>
        <v>-1.3522825429014413E-2</v>
      </c>
    </row>
    <row r="286" spans="1:18">
      <c r="A286" s="86">
        <f t="shared" ca="1" si="38"/>
        <v>-0.64770313506899879</v>
      </c>
      <c r="B286" s="86">
        <f t="shared" ca="1" si="38"/>
        <v>1.4821484480191458</v>
      </c>
      <c r="G286" s="86">
        <f t="shared" ca="1" si="33"/>
        <v>-0.64770313506899879</v>
      </c>
      <c r="H286" s="86">
        <f t="shared" ca="1" si="34"/>
        <v>1.1422500089598748</v>
      </c>
      <c r="O286" s="86">
        <f t="shared" ca="1" si="37"/>
        <v>108.53042807540855</v>
      </c>
      <c r="P286" s="86">
        <f t="shared" ca="1" si="37"/>
        <v>103.59901794358682</v>
      </c>
      <c r="Q286" s="86">
        <f t="shared" ca="1" si="36"/>
        <v>1.226930292669829E-2</v>
      </c>
      <c r="R286" s="86">
        <f t="shared" ca="1" si="36"/>
        <v>-2.169267011396556E-2</v>
      </c>
    </row>
    <row r="287" spans="1:18">
      <c r="A287" s="86">
        <f t="shared" ca="1" si="38"/>
        <v>6.4690755556263566E-2</v>
      </c>
      <c r="B287" s="86">
        <f t="shared" ca="1" si="38"/>
        <v>-0.88143207023162451</v>
      </c>
      <c r="G287" s="86">
        <f t="shared" ca="1" si="33"/>
        <v>6.4690755556263566E-2</v>
      </c>
      <c r="H287" s="86">
        <f t="shared" ca="1" si="34"/>
        <v>-0.79659695774458494</v>
      </c>
      <c r="O287" s="86">
        <f t="shared" ca="1" si="37"/>
        <v>108.6658956623538</v>
      </c>
      <c r="P287" s="86">
        <f t="shared" ca="1" si="37"/>
        <v>102.04699943059187</v>
      </c>
      <c r="Q287" s="86">
        <f t="shared" ca="1" si="36"/>
        <v>-1.2474207866897851E-3</v>
      </c>
      <c r="R287" s="86">
        <f t="shared" ca="1" si="36"/>
        <v>1.5094364581802754E-2</v>
      </c>
    </row>
    <row r="288" spans="1:18">
      <c r="A288" s="86">
        <f t="shared" ca="1" si="38"/>
        <v>-1.7373264628118483</v>
      </c>
      <c r="B288" s="86">
        <f t="shared" ca="1" si="38"/>
        <v>2.1838181253147662</v>
      </c>
      <c r="G288" s="86">
        <f t="shared" ca="1" si="33"/>
        <v>-1.7373264628118483</v>
      </c>
      <c r="H288" s="86">
        <f t="shared" ca="1" si="34"/>
        <v>1.3964320928537199</v>
      </c>
      <c r="O288" s="86">
        <f t="shared" ca="1" si="37"/>
        <v>105.14438970553866</v>
      </c>
      <c r="P288" s="86">
        <f t="shared" ca="1" si="37"/>
        <v>104.78901230334871</v>
      </c>
      <c r="Q288" s="86">
        <f t="shared" ca="1" si="36"/>
        <v>3.2943451970615475E-2</v>
      </c>
      <c r="R288" s="86">
        <f t="shared" ca="1" si="36"/>
        <v>-2.6515436067041105E-2</v>
      </c>
    </row>
    <row r="289" spans="1:18">
      <c r="A289" s="86">
        <f t="shared" ca="1" si="38"/>
        <v>-0.48374163936840819</v>
      </c>
      <c r="B289" s="86">
        <f t="shared" ca="1" si="38"/>
        <v>-0.97976644471978525</v>
      </c>
      <c r="G289" s="86">
        <f t="shared" ca="1" si="33"/>
        <v>-0.48374163936840819</v>
      </c>
      <c r="H289" s="86">
        <f t="shared" ca="1" si="34"/>
        <v>-1.0888346435018503</v>
      </c>
      <c r="O289" s="86">
        <f t="shared" ca="1" si="37"/>
        <v>104.1858364288891</v>
      </c>
      <c r="P289" s="86">
        <f t="shared" ca="1" si="37"/>
        <v>102.64841855334815</v>
      </c>
      <c r="Q289" s="86">
        <f t="shared" ca="1" si="36"/>
        <v>9.1583522768076322E-3</v>
      </c>
      <c r="R289" s="86">
        <f t="shared" ca="1" si="36"/>
        <v>2.0639184812579914E-2</v>
      </c>
    </row>
    <row r="290" spans="1:18">
      <c r="A290" s="86">
        <f t="shared" ca="1" si="38"/>
        <v>0.82648541297477263</v>
      </c>
      <c r="B290" s="86">
        <f t="shared" ca="1" si="38"/>
        <v>1.9472004778627012</v>
      </c>
      <c r="G290" s="86">
        <f t="shared" ca="1" si="33"/>
        <v>0.82648541297477263</v>
      </c>
      <c r="H290" s="86">
        <f t="shared" ca="1" si="34"/>
        <v>2.1145873427786888</v>
      </c>
      <c r="O290" s="86">
        <f t="shared" ca="1" si="37"/>
        <v>105.83461622918364</v>
      </c>
      <c r="P290" s="86">
        <f t="shared" ca="1" si="37"/>
        <v>106.85269578110082</v>
      </c>
      <c r="Q290" s="86">
        <f t="shared" ca="1" si="36"/>
        <v>-1.5701458147430954E-2</v>
      </c>
      <c r="R290" s="86">
        <f t="shared" ca="1" si="36"/>
        <v>-4.0141473887263329E-2</v>
      </c>
    </row>
    <row r="291" spans="1:18">
      <c r="A291" s="86">
        <f t="shared" ca="1" si="38"/>
        <v>0.99184397283482806</v>
      </c>
      <c r="B291" s="86">
        <f t="shared" ca="1" si="38"/>
        <v>0.84432216650189784</v>
      </c>
      <c r="G291" s="86">
        <f t="shared" ca="1" si="33"/>
        <v>0.99184397283482806</v>
      </c>
      <c r="H291" s="86">
        <f t="shared" ca="1" si="34"/>
        <v>1.1487536408236401</v>
      </c>
      <c r="O291" s="86">
        <f t="shared" ca="1" si="37"/>
        <v>107.84732479587178</v>
      </c>
      <c r="P291" s="86">
        <f t="shared" ca="1" si="37"/>
        <v>109.20941514643684</v>
      </c>
      <c r="Q291" s="86">
        <f t="shared" ca="1" si="36"/>
        <v>-1.8838916226009354E-2</v>
      </c>
      <c r="R291" s="86">
        <f t="shared" ca="1" si="36"/>
        <v>-2.1816067852482069E-2</v>
      </c>
    </row>
    <row r="292" spans="1:18">
      <c r="A292" s="86">
        <f t="shared" ca="1" si="38"/>
        <v>0.6710227485504352</v>
      </c>
      <c r="B292" s="86">
        <f t="shared" ca="1" si="38"/>
        <v>1.2863200692874379</v>
      </c>
      <c r="G292" s="86">
        <f t="shared" ca="1" si="33"/>
        <v>0.6710227485504352</v>
      </c>
      <c r="H292" s="86">
        <f t="shared" ca="1" si="34"/>
        <v>1.4426628849644854</v>
      </c>
      <c r="O292" s="86">
        <f t="shared" ref="O292:P300" ca="1" si="39">O291*EXP((0.05-0.3^2/2)*1/250+0.3*SQRT(1/250)*G292)</f>
        <v>109.23137393585989</v>
      </c>
      <c r="P292" s="86">
        <f t="shared" ca="1" si="39"/>
        <v>112.24229496817594</v>
      </c>
      <c r="Q292" s="86">
        <f t="shared" ca="1" si="36"/>
        <v>-1.2751761483235069E-2</v>
      </c>
      <c r="R292" s="86">
        <f t="shared" ca="1" si="36"/>
        <v>-2.7392603673663508E-2</v>
      </c>
    </row>
    <row r="293" spans="1:18">
      <c r="A293" s="86">
        <f t="shared" ca="1" si="38"/>
        <v>-0.72538037935945299</v>
      </c>
      <c r="B293" s="86">
        <f t="shared" ca="1" si="38"/>
        <v>-0.26801190278730996</v>
      </c>
      <c r="G293" s="86">
        <f t="shared" ca="1" si="33"/>
        <v>-0.72538037935945299</v>
      </c>
      <c r="H293" s="86">
        <f t="shared" ca="1" si="34"/>
        <v>-0.51490507569434896</v>
      </c>
      <c r="O293" s="86">
        <f t="shared" ca="1" si="39"/>
        <v>107.74046187008129</v>
      </c>
      <c r="P293" s="86">
        <f t="shared" ca="1" si="39"/>
        <v>111.15329067107568</v>
      </c>
      <c r="Q293" s="86">
        <f t="shared" ca="1" si="36"/>
        <v>1.3743125012637313E-2</v>
      </c>
      <c r="R293" s="86">
        <f t="shared" ca="1" si="36"/>
        <v>9.7496369078532742E-3</v>
      </c>
    </row>
    <row r="294" spans="1:18">
      <c r="A294" s="86">
        <f t="shared" ca="1" si="38"/>
        <v>1.2924655360299104</v>
      </c>
      <c r="B294" s="86">
        <f t="shared" ca="1" si="38"/>
        <v>1.2942315183462598</v>
      </c>
      <c r="G294" s="86">
        <f t="shared" ca="1" si="33"/>
        <v>1.2924655360299104</v>
      </c>
      <c r="H294" s="86">
        <f t="shared" ca="1" si="34"/>
        <v>1.6774734571652099</v>
      </c>
      <c r="O294" s="86">
        <f t="shared" ca="1" si="39"/>
        <v>110.41743128847261</v>
      </c>
      <c r="P294" s="86">
        <f t="shared" ca="1" si="39"/>
        <v>114.75025448637398</v>
      </c>
      <c r="Q294" s="86">
        <f t="shared" ca="1" si="36"/>
        <v>-2.4542809346749742E-2</v>
      </c>
      <c r="R294" s="86">
        <f t="shared" ca="1" si="36"/>
        <v>-3.1847821034713723E-2</v>
      </c>
    </row>
    <row r="295" spans="1:18">
      <c r="A295" s="86">
        <f t="shared" ca="1" si="38"/>
        <v>-0.96446901149372788</v>
      </c>
      <c r="B295" s="86">
        <f t="shared" ca="1" si="38"/>
        <v>-0.11855721000165428</v>
      </c>
      <c r="G295" s="86">
        <f t="shared" ca="1" si="33"/>
        <v>-0.96446901149372788</v>
      </c>
      <c r="H295" s="86">
        <f t="shared" ca="1" si="34"/>
        <v>-0.46332675846992954</v>
      </c>
      <c r="O295" s="86">
        <f t="shared" ca="1" si="39"/>
        <v>108.41739001496941</v>
      </c>
      <c r="P295" s="86">
        <f t="shared" ca="1" si="39"/>
        <v>113.74818020876309</v>
      </c>
      <c r="Q295" s="86">
        <f t="shared" ca="1" si="36"/>
        <v>1.8279512853827749E-2</v>
      </c>
      <c r="R295" s="86">
        <f t="shared" ca="1" si="36"/>
        <v>8.7710071460060102E-3</v>
      </c>
    </row>
    <row r="296" spans="1:18">
      <c r="A296" s="86">
        <f t="shared" ca="1" si="38"/>
        <v>-0.6550740314950102</v>
      </c>
      <c r="B296" s="86">
        <f t="shared" ca="1" si="38"/>
        <v>-0.93319997855066039</v>
      </c>
      <c r="G296" s="86">
        <f t="shared" ca="1" si="33"/>
        <v>-0.6550740314950102</v>
      </c>
      <c r="H296" s="86">
        <f t="shared" ca="1" si="34"/>
        <v>-1.1082068540671712</v>
      </c>
      <c r="O296" s="86">
        <f t="shared" ca="1" si="39"/>
        <v>107.08033474607178</v>
      </c>
      <c r="P296" s="86">
        <f t="shared" ca="1" si="39"/>
        <v>111.38362377517957</v>
      </c>
      <c r="Q296" s="86">
        <f t="shared" ca="1" si="36"/>
        <v>1.240915585331873E-2</v>
      </c>
      <c r="R296" s="86">
        <f t="shared" ca="1" si="36"/>
        <v>2.100674666477248E-2</v>
      </c>
    </row>
    <row r="297" spans="1:18">
      <c r="A297" s="86">
        <f t="shared" ca="1" si="38"/>
        <v>1.7260936736700305</v>
      </c>
      <c r="B297" s="86">
        <f t="shared" ca="1" si="38"/>
        <v>0.52990241529943238</v>
      </c>
      <c r="G297" s="86">
        <f t="shared" ca="1" si="33"/>
        <v>1.7260936736700305</v>
      </c>
      <c r="H297" s="86">
        <f t="shared" ca="1" si="34"/>
        <v>1.1248853415649187</v>
      </c>
      <c r="O297" s="86">
        <f t="shared" ca="1" si="39"/>
        <v>110.64752180661787</v>
      </c>
      <c r="P297" s="86">
        <f t="shared" ca="1" si="39"/>
        <v>113.78873320801159</v>
      </c>
      <c r="Q297" s="86">
        <f t="shared" ca="1" si="36"/>
        <v>-3.2770324781628182E-2</v>
      </c>
      <c r="R297" s="86">
        <f t="shared" ca="1" si="36"/>
        <v>-2.1363198715289779E-2</v>
      </c>
    </row>
    <row r="298" spans="1:18">
      <c r="A298" s="86">
        <f t="shared" ca="1" si="38"/>
        <v>-0.37482075554883404</v>
      </c>
      <c r="B298" s="86">
        <f t="shared" ca="1" si="38"/>
        <v>-1.2851803742480203</v>
      </c>
      <c r="G298" s="86">
        <f t="shared" ca="1" si="33"/>
        <v>-0.37482075554883404</v>
      </c>
      <c r="H298" s="86">
        <f t="shared" ca="1" si="34"/>
        <v>-1.3331923383971584</v>
      </c>
      <c r="O298" s="86">
        <f t="shared" ca="1" si="39"/>
        <v>109.86561594878495</v>
      </c>
      <c r="P298" s="86">
        <f t="shared" ca="1" si="39"/>
        <v>110.94870368105998</v>
      </c>
      <c r="Q298" s="86">
        <f t="shared" ca="1" si="36"/>
        <v>7.0917238110371813E-3</v>
      </c>
      <c r="R298" s="86">
        <f t="shared" ca="1" si="36"/>
        <v>2.5275546090525892E-2</v>
      </c>
    </row>
    <row r="299" spans="1:18">
      <c r="A299" s="86">
        <f t="shared" ca="1" si="38"/>
        <v>0.31898828447861594</v>
      </c>
      <c r="B299" s="86">
        <f t="shared" ca="1" si="38"/>
        <v>2.5388480701432909</v>
      </c>
      <c r="G299" s="86">
        <f t="shared" ca="1" si="33"/>
        <v>0.31898828447861594</v>
      </c>
      <c r="H299" s="86">
        <f t="shared" ca="1" si="34"/>
        <v>2.4794394293971562</v>
      </c>
      <c r="O299" s="86">
        <f t="shared" ca="1" si="39"/>
        <v>110.53479109088494</v>
      </c>
      <c r="P299" s="86">
        <f t="shared" ca="1" si="39"/>
        <v>116.29522731778677</v>
      </c>
      <c r="Q299" s="86">
        <f t="shared" ca="1" si="36"/>
        <v>-6.0723771551730622E-3</v>
      </c>
      <c r="R299" s="86">
        <f t="shared" ca="1" si="36"/>
        <v>-4.7064055503939654E-2</v>
      </c>
    </row>
    <row r="300" spans="1:18">
      <c r="A300" s="86">
        <f t="shared" ca="1" si="38"/>
        <v>0.59893590628112103</v>
      </c>
      <c r="B300" s="86">
        <f t="shared" ca="1" si="38"/>
        <v>1.0124006540073736</v>
      </c>
      <c r="G300" s="86">
        <f t="shared" ca="1" si="33"/>
        <v>0.59893590628112103</v>
      </c>
      <c r="H300" s="86">
        <f t="shared" ca="1" si="34"/>
        <v>1.1613656249897639</v>
      </c>
      <c r="O300" s="86">
        <f t="shared" ca="1" si="39"/>
        <v>111.80030991008883</v>
      </c>
      <c r="P300" s="86">
        <f t="shared" ca="1" si="39"/>
        <v>118.88865519038552</v>
      </c>
      <c r="Q300" s="86">
        <f t="shared" ca="1" si="36"/>
        <v>-1.1384009817832993E-2</v>
      </c>
      <c r="R300" s="86">
        <f t="shared" ca="1" si="36"/>
        <v>-2.2055363427155715E-2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2" tint="-0.249977111117893"/>
  </sheetPr>
  <dimension ref="A1:F28"/>
  <sheetViews>
    <sheetView zoomScale="60" zoomScaleNormal="60" workbookViewId="0">
      <selection activeCell="H5" sqref="H5"/>
    </sheetView>
  </sheetViews>
  <sheetFormatPr defaultColWidth="8" defaultRowHeight="15.75"/>
  <cols>
    <col min="1" max="1" width="19.625" style="90" bestFit="1" customWidth="1"/>
    <col min="2" max="2" width="11.25" style="90" customWidth="1"/>
    <col min="3" max="3" width="15.125" style="90" bestFit="1" customWidth="1"/>
    <col min="4" max="4" width="8" style="90"/>
    <col min="5" max="5" width="15.125" style="90" bestFit="1" customWidth="1"/>
    <col min="6" max="6" width="13" style="90" bestFit="1" customWidth="1"/>
    <col min="7" max="16384" width="8" style="90"/>
  </cols>
  <sheetData>
    <row r="1" spans="1:6">
      <c r="A1" s="90" t="s">
        <v>101</v>
      </c>
      <c r="B1" s="90">
        <v>100</v>
      </c>
      <c r="C1" s="90" t="s">
        <v>218</v>
      </c>
    </row>
    <row r="2" spans="1:6">
      <c r="A2" s="90" t="s">
        <v>188</v>
      </c>
      <c r="B2" s="90">
        <v>90</v>
      </c>
      <c r="C2" s="90" t="s">
        <v>219</v>
      </c>
    </row>
    <row r="3" spans="1:6">
      <c r="A3" s="90" t="s">
        <v>105</v>
      </c>
      <c r="B3" s="90">
        <v>0.05</v>
      </c>
      <c r="C3" s="90" t="s">
        <v>220</v>
      </c>
      <c r="E3" s="92" t="s">
        <v>233</v>
      </c>
      <c r="F3" s="90" t="e">
        <f ca="1">sstar(B2,B5,B3,B4,B6)</f>
        <v>#NAME?</v>
      </c>
    </row>
    <row r="4" spans="1:6">
      <c r="A4" s="90" t="s">
        <v>189</v>
      </c>
      <c r="B4" s="90">
        <v>0.01</v>
      </c>
      <c r="C4" s="90" t="s">
        <v>221</v>
      </c>
      <c r="E4" s="92" t="s">
        <v>234</v>
      </c>
      <c r="F4" s="90" t="e">
        <f ca="1">F3-B2</f>
        <v>#NAME?</v>
      </c>
    </row>
    <row r="5" spans="1:6">
      <c r="A5" s="90" t="s">
        <v>191</v>
      </c>
      <c r="B5" s="90">
        <v>1</v>
      </c>
      <c r="C5" s="90" t="s">
        <v>222</v>
      </c>
    </row>
    <row r="6" spans="1:6">
      <c r="A6" s="90" t="s">
        <v>102</v>
      </c>
      <c r="B6" s="90">
        <v>0.3</v>
      </c>
      <c r="C6" s="90" t="s">
        <v>223</v>
      </c>
      <c r="E6" s="92" t="s">
        <v>235</v>
      </c>
      <c r="F6" s="90" t="e">
        <f ca="1">BlackScholes(F3,B2,B3,B4,B6,B5,"call")</f>
        <v>#VALUE!</v>
      </c>
    </row>
    <row r="7" spans="1:6">
      <c r="A7" s="90" t="s">
        <v>184</v>
      </c>
      <c r="B7" s="90">
        <f>B3-B4</f>
        <v>0.04</v>
      </c>
      <c r="C7" s="90" t="s">
        <v>224</v>
      </c>
    </row>
    <row r="8" spans="1:6">
      <c r="E8" s="92" t="s">
        <v>236</v>
      </c>
      <c r="F8" s="90" t="e">
        <f ca="1">F3*(1/B13)</f>
        <v>#NAME?</v>
      </c>
    </row>
    <row r="9" spans="1:6">
      <c r="A9" s="90" t="s">
        <v>193</v>
      </c>
      <c r="B9" s="90">
        <f>2*B3/(B6^2)</f>
        <v>1.1111111111111112</v>
      </c>
    </row>
    <row r="10" spans="1:6">
      <c r="A10" s="90" t="s">
        <v>194</v>
      </c>
      <c r="B10" s="90">
        <f>2*B7/(B6^2)</f>
        <v>0.88888888888888895</v>
      </c>
      <c r="E10" s="92" t="s">
        <v>227</v>
      </c>
      <c r="F10" s="90" t="e">
        <f ca="1">(LN(F3/B2)+(B7+0.5*B6^2)*B5)/(B6*SQRT(B5))</f>
        <v>#NAME?</v>
      </c>
    </row>
    <row r="11" spans="1:6">
      <c r="A11" s="90" t="s">
        <v>103</v>
      </c>
      <c r="B11" s="90">
        <f>1-EXP(-B3*B5)</f>
        <v>4.8770575499285984E-2</v>
      </c>
      <c r="E11" s="92" t="s">
        <v>237</v>
      </c>
      <c r="F11" s="90" t="e">
        <f ca="1">NORMSDIST(F10)</f>
        <v>#NAME?</v>
      </c>
    </row>
    <row r="12" spans="1:6">
      <c r="E12" s="92" t="s">
        <v>238</v>
      </c>
      <c r="F12" s="90">
        <f>1-EXP((B7-B3)*B5)</f>
        <v>9.9501662508318933E-3</v>
      </c>
    </row>
    <row r="13" spans="1:6" ht="20.25">
      <c r="A13" s="91" t="s">
        <v>225</v>
      </c>
      <c r="B13" s="90">
        <f>(-(B10-1)+SQRT((B10-1)^2+4*B9/B11))/2</f>
        <v>4.8289708563931795</v>
      </c>
    </row>
    <row r="14" spans="1:6">
      <c r="E14" s="92" t="s">
        <v>239</v>
      </c>
      <c r="F14" s="90" t="e">
        <f ca="1">F6+(F12*F11)*F8</f>
        <v>#VALUE!</v>
      </c>
    </row>
    <row r="15" spans="1:6">
      <c r="A15" s="90" t="s">
        <v>192</v>
      </c>
      <c r="B15" s="90">
        <v>100</v>
      </c>
      <c r="C15" s="90" t="s">
        <v>226</v>
      </c>
    </row>
    <row r="17" spans="1:6">
      <c r="A17" s="90" t="s">
        <v>227</v>
      </c>
      <c r="B17" s="90">
        <f>(LN(B15/B2)+(B7+0.5*B6^2)*B5)/(B6*SQRT(B5))</f>
        <v>0.63453505219275452</v>
      </c>
    </row>
    <row r="18" spans="1:6">
      <c r="F18" s="90">
        <f>Am_Call_Approx(B1,B2,B3,B4,B6,B5)</f>
        <v>18.959396383909599</v>
      </c>
    </row>
    <row r="19" spans="1:6">
      <c r="A19" s="90" t="s">
        <v>228</v>
      </c>
      <c r="B19" s="90">
        <f>_xlfn.NORM.S.DIST(B17,TRUE)</f>
        <v>0.73713415061729415</v>
      </c>
    </row>
    <row r="21" spans="1:6" ht="20.25">
      <c r="A21" s="91" t="s">
        <v>229</v>
      </c>
      <c r="B21" s="90">
        <f>(B15/B13)*(1-EXP(B7-B3)*B19)</f>
        <v>5.59540458548822</v>
      </c>
    </row>
    <row r="23" spans="1:6">
      <c r="A23" s="90" t="s">
        <v>198</v>
      </c>
      <c r="B23" s="90">
        <f>B15-B2</f>
        <v>10</v>
      </c>
    </row>
    <row r="25" spans="1:6">
      <c r="A25" s="90" t="s">
        <v>230</v>
      </c>
      <c r="B25" s="90">
        <f>BlackScholes(B15,B2,B3,B4,B6,B5,"call")</f>
        <v>18.958601352808401</v>
      </c>
      <c r="C25" s="90" t="s">
        <v>231</v>
      </c>
      <c r="E25" s="90">
        <f>BlackScholes(B15,B2,B3,B4,B6,B5)</f>
        <v>18.958601352808401</v>
      </c>
    </row>
    <row r="26" spans="1:6">
      <c r="A26" s="90" t="s">
        <v>199</v>
      </c>
      <c r="B26" s="90">
        <f>B25+(1-EXP(B7-B3)*B19)*B15*(1/B13)</f>
        <v>24.554005938296619</v>
      </c>
    </row>
    <row r="28" spans="1:6">
      <c r="A28" s="90" t="s">
        <v>232</v>
      </c>
      <c r="B28" s="90">
        <f>B23-B26</f>
        <v>-14.554005938296619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32"/>
  <sheetViews>
    <sheetView topLeftCell="I1" zoomScale="60" zoomScaleNormal="60" workbookViewId="0">
      <selection activeCell="Z1" sqref="Z1"/>
    </sheetView>
  </sheetViews>
  <sheetFormatPr defaultRowHeight="15.75"/>
  <cols>
    <col min="1" max="2" width="9.5" bestFit="1" customWidth="1"/>
    <col min="3" max="3" width="9.5" customWidth="1"/>
    <col min="4" max="5" width="3.625" customWidth="1"/>
    <col min="6" max="6" width="10.375" bestFit="1" customWidth="1"/>
    <col min="7" max="7" width="18.5" bestFit="1" customWidth="1"/>
    <col min="8" max="9" width="3.75" customWidth="1"/>
    <col min="10" max="12" width="11.625" bestFit="1" customWidth="1"/>
    <col min="13" max="14" width="3.75" customWidth="1"/>
    <col min="15" max="16" width="14.875" customWidth="1"/>
    <col min="18" max="20" width="12.25" bestFit="1" customWidth="1"/>
    <col min="22" max="24" width="10.25" customWidth="1"/>
  </cols>
  <sheetData>
    <row r="1" spans="1:24" ht="21">
      <c r="A1" s="95" t="s">
        <v>240</v>
      </c>
      <c r="B1" s="95" t="s">
        <v>241</v>
      </c>
      <c r="C1" s="95" t="s">
        <v>242</v>
      </c>
      <c r="D1" s="73"/>
      <c r="E1" s="73"/>
      <c r="F1" s="97" t="s">
        <v>244</v>
      </c>
      <c r="G1" s="97"/>
      <c r="J1" s="96" t="s">
        <v>249</v>
      </c>
      <c r="K1" s="96" t="s">
        <v>250</v>
      </c>
      <c r="L1" s="96" t="s">
        <v>251</v>
      </c>
      <c r="O1" s="97" t="s">
        <v>244</v>
      </c>
      <c r="P1" s="97"/>
      <c r="R1" s="24" t="s">
        <v>253</v>
      </c>
      <c r="S1" s="24" t="s">
        <v>254</v>
      </c>
      <c r="T1" s="24" t="s">
        <v>255</v>
      </c>
      <c r="U1" s="24"/>
      <c r="V1" s="98" t="s">
        <v>256</v>
      </c>
      <c r="W1" s="98"/>
      <c r="X1" s="98"/>
    </row>
    <row r="2" spans="1:24" ht="21">
      <c r="A2">
        <v>100</v>
      </c>
      <c r="B2">
        <v>90</v>
      </c>
      <c r="C2">
        <v>80</v>
      </c>
      <c r="F2" s="24" t="s">
        <v>245</v>
      </c>
      <c r="G2" s="24">
        <f>CORREL(A:A,B:B)</f>
        <v>-0.41900744097434744</v>
      </c>
      <c r="O2" s="24" t="s">
        <v>245</v>
      </c>
      <c r="P2" s="24" t="e">
        <f>CORREL(J:J,K:K)</f>
        <v>#DIV/0!</v>
      </c>
      <c r="V2">
        <v>1</v>
      </c>
      <c r="W2">
        <v>0.6</v>
      </c>
      <c r="X2">
        <v>0.3</v>
      </c>
    </row>
    <row r="3" spans="1:24" ht="21">
      <c r="A3">
        <v>103.02143455405701</v>
      </c>
      <c r="B3">
        <v>94.840373337582605</v>
      </c>
      <c r="C3">
        <v>79.023119840074543</v>
      </c>
      <c r="F3" s="24" t="s">
        <v>246</v>
      </c>
      <c r="G3" s="24">
        <f>CORREL(B:B,C:C)</f>
        <v>-0.59343061860451418</v>
      </c>
      <c r="O3" s="24" t="s">
        <v>246</v>
      </c>
      <c r="P3" s="24" t="e">
        <f>CORREL(K:K,L:L)</f>
        <v>#DIV/0!</v>
      </c>
      <c r="V3">
        <v>0</v>
      </c>
      <c r="W3">
        <v>0.8</v>
      </c>
      <c r="X3">
        <v>0.39999999999999997</v>
      </c>
    </row>
    <row r="4" spans="1:24" ht="21">
      <c r="A4">
        <v>103.51308442861395</v>
      </c>
      <c r="B4">
        <v>99.829821231439212</v>
      </c>
      <c r="C4">
        <v>78.087773668853245</v>
      </c>
      <c r="F4" s="24" t="s">
        <v>247</v>
      </c>
      <c r="G4" s="24">
        <f>CORREL(C:C,A:A)</f>
        <v>0.36299826776309535</v>
      </c>
      <c r="O4" s="24" t="s">
        <v>247</v>
      </c>
      <c r="P4" s="24" t="e">
        <f>CORREL(L:L,J:J)</f>
        <v>#DIV/0!</v>
      </c>
      <c r="V4">
        <v>0</v>
      </c>
      <c r="W4">
        <v>0</v>
      </c>
      <c r="X4">
        <v>0.86602540378443871</v>
      </c>
    </row>
    <row r="5" spans="1:24" ht="21">
      <c r="A5">
        <v>104.67448677722872</v>
      </c>
      <c r="B5">
        <v>101.08673067095125</v>
      </c>
      <c r="C5">
        <v>80.539533950556674</v>
      </c>
      <c r="F5" s="98" t="s">
        <v>248</v>
      </c>
      <c r="G5" s="98"/>
      <c r="O5" s="98" t="s">
        <v>252</v>
      </c>
      <c r="P5" s="98"/>
    </row>
    <row r="6" spans="1:24">
      <c r="A6">
        <v>101.55920317610789</v>
      </c>
      <c r="B6">
        <v>114.05026419066098</v>
      </c>
      <c r="C6">
        <v>78.590016894683302</v>
      </c>
      <c r="V6">
        <v>1</v>
      </c>
      <c r="W6">
        <v>0.6</v>
      </c>
      <c r="X6">
        <v>0.3</v>
      </c>
    </row>
    <row r="7" spans="1:24">
      <c r="A7">
        <v>98.730350509821577</v>
      </c>
      <c r="B7">
        <v>122.80143022093461</v>
      </c>
      <c r="C7">
        <v>80.081871181495174</v>
      </c>
      <c r="V7">
        <v>0</v>
      </c>
      <c r="W7">
        <v>0.8</v>
      </c>
      <c r="X7">
        <v>0.39999999999999997</v>
      </c>
    </row>
    <row r="8" spans="1:24">
      <c r="A8">
        <v>102.9133533025505</v>
      </c>
      <c r="B8">
        <v>117.88381631575659</v>
      </c>
      <c r="C8">
        <v>76.598811410467817</v>
      </c>
      <c r="V8">
        <v>0</v>
      </c>
      <c r="W8">
        <v>0</v>
      </c>
      <c r="X8">
        <v>0.86602540378443871</v>
      </c>
    </row>
    <row r="9" spans="1:24">
      <c r="A9">
        <v>91.261663272503938</v>
      </c>
      <c r="B9">
        <v>121.24607224660248</v>
      </c>
      <c r="C9">
        <v>72.955814228127451</v>
      </c>
    </row>
    <row r="10" spans="1:24">
      <c r="A10">
        <v>94.889290189565571</v>
      </c>
      <c r="B10">
        <v>135.70466256017505</v>
      </c>
      <c r="C10">
        <v>73.814108177470558</v>
      </c>
    </row>
    <row r="11" spans="1:24">
      <c r="A11">
        <v>99.671006320059604</v>
      </c>
      <c r="B11">
        <v>130.66690950323624</v>
      </c>
      <c r="C11">
        <v>68.375872184865344</v>
      </c>
    </row>
    <row r="12" spans="1:24">
      <c r="A12">
        <v>102.73961675184734</v>
      </c>
      <c r="B12">
        <v>131.298615716038</v>
      </c>
      <c r="C12">
        <v>67.993064949394835</v>
      </c>
    </row>
    <row r="13" spans="1:24">
      <c r="A13">
        <v>93.663343750882831</v>
      </c>
      <c r="B13">
        <v>122.65688904017587</v>
      </c>
      <c r="C13">
        <v>73.082792095014014</v>
      </c>
    </row>
    <row r="14" spans="1:24">
      <c r="A14">
        <v>92.57118760062508</v>
      </c>
      <c r="B14">
        <v>146.54636787183921</v>
      </c>
      <c r="C14">
        <v>70.580426339587447</v>
      </c>
    </row>
    <row r="15" spans="1:24">
      <c r="A15">
        <v>98.294184028989562</v>
      </c>
      <c r="B15">
        <v>150.28615998393047</v>
      </c>
      <c r="C15">
        <v>73.713438646750376</v>
      </c>
    </row>
    <row r="16" spans="1:24">
      <c r="A16">
        <v>102.7596046979001</v>
      </c>
      <c r="B16">
        <v>133.59933297156567</v>
      </c>
      <c r="C16">
        <v>72.490968450148003</v>
      </c>
    </row>
    <row r="17" spans="1:3">
      <c r="A17">
        <v>100.9772075921211</v>
      </c>
      <c r="B17">
        <v>135.01637536961761</v>
      </c>
      <c r="C17">
        <v>70.334674064981954</v>
      </c>
    </row>
    <row r="18" spans="1:3">
      <c r="A18">
        <v>111.29867648139452</v>
      </c>
      <c r="B18">
        <v>125.88711172474935</v>
      </c>
      <c r="C18">
        <v>75.956566931642826</v>
      </c>
    </row>
    <row r="19" spans="1:3">
      <c r="A19">
        <v>118.44572235121402</v>
      </c>
      <c r="B19">
        <v>117.48279518264216</v>
      </c>
      <c r="C19">
        <v>77.382268997972929</v>
      </c>
    </row>
    <row r="20" spans="1:3">
      <c r="A20">
        <v>108.60185626820872</v>
      </c>
      <c r="B20">
        <v>123.0189199160563</v>
      </c>
      <c r="C20">
        <v>78.787864958894843</v>
      </c>
    </row>
    <row r="21" spans="1:3">
      <c r="A21">
        <v>118.83225626293805</v>
      </c>
      <c r="B21">
        <v>119.26017890193019</v>
      </c>
      <c r="C21">
        <v>78.026609372561381</v>
      </c>
    </row>
    <row r="22" spans="1:3">
      <c r="A22">
        <v>116.60978487721493</v>
      </c>
      <c r="B22">
        <v>108.74289740621904</v>
      </c>
      <c r="C22">
        <v>72.70324440821048</v>
      </c>
    </row>
    <row r="23" spans="1:3">
      <c r="A23">
        <v>117.02836575924827</v>
      </c>
      <c r="B23">
        <v>105.61098285162979</v>
      </c>
      <c r="C23">
        <v>73.329726122126189</v>
      </c>
    </row>
    <row r="24" spans="1:3">
      <c r="A24">
        <v>121.81848836554001</v>
      </c>
      <c r="B24">
        <v>103.90595126376994</v>
      </c>
      <c r="C24">
        <v>75.413790524215685</v>
      </c>
    </row>
    <row r="25" spans="1:3">
      <c r="A25">
        <v>111.54384959315087</v>
      </c>
      <c r="B25">
        <v>100.99621228604546</v>
      </c>
      <c r="C25">
        <v>81.277290683156238</v>
      </c>
    </row>
    <row r="26" spans="1:3">
      <c r="A26">
        <v>113.00072187173735</v>
      </c>
      <c r="B26">
        <v>110.45317383075933</v>
      </c>
      <c r="C26">
        <v>85.742395915237552</v>
      </c>
    </row>
    <row r="27" spans="1:3">
      <c r="A27">
        <v>112.53442538981386</v>
      </c>
      <c r="B27">
        <v>123.60048457239498</v>
      </c>
      <c r="C27">
        <v>76.849318629499408</v>
      </c>
    </row>
    <row r="28" spans="1:3">
      <c r="A28">
        <v>109.33470273522732</v>
      </c>
      <c r="B28">
        <v>121.94126500086907</v>
      </c>
      <c r="C28">
        <v>77.321973313222429</v>
      </c>
    </row>
    <row r="29" spans="1:3">
      <c r="A29">
        <v>111.2411904247837</v>
      </c>
      <c r="B29">
        <v>118.09652860607852</v>
      </c>
      <c r="C29">
        <v>83.405592806926521</v>
      </c>
    </row>
    <row r="30" spans="1:3">
      <c r="A30">
        <v>113.5962439982212</v>
      </c>
      <c r="B30">
        <v>111.86576161477527</v>
      </c>
      <c r="C30">
        <v>82.620516629282534</v>
      </c>
    </row>
    <row r="31" spans="1:3">
      <c r="A31">
        <v>109.7513904483086</v>
      </c>
      <c r="B31">
        <v>106.02014384574865</v>
      </c>
      <c r="C31">
        <v>84.751861092863052</v>
      </c>
    </row>
    <row r="32" spans="1:3">
      <c r="A32">
        <v>106.30940185637323</v>
      </c>
      <c r="B32">
        <v>108.24496615196753</v>
      </c>
      <c r="C32">
        <v>84.79455092477032</v>
      </c>
    </row>
  </sheetData>
  <mergeCells count="5">
    <mergeCell ref="F1:G1"/>
    <mergeCell ref="F5:G5"/>
    <mergeCell ref="O1:P1"/>
    <mergeCell ref="O5:P5"/>
    <mergeCell ref="V1:X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Start Here</vt:lpstr>
      <vt:lpstr>Control-Input</vt:lpstr>
      <vt:lpstr>notes</vt:lpstr>
      <vt:lpstr>Test</vt:lpstr>
      <vt:lpstr>Binomial Reference</vt:lpstr>
      <vt:lpstr>Binomial_model manual</vt:lpstr>
      <vt:lpstr>BlackScholes Reference</vt:lpstr>
      <vt:lpstr>MonteCarlo</vt:lpstr>
      <vt:lpstr>Cholesky</vt:lpstr>
      <vt:lpstr>TSLA_52wk</vt:lpstr>
      <vt:lpstr>amercall sstar</vt:lpstr>
      <vt:lpstr>incl monte4</vt:lpstr>
      <vt:lpstr>incl monte5</vt:lpstr>
      <vt:lpstr>incl star2</vt:lpstr>
      <vt:lpstr>Price Trajectory</vt:lpstr>
      <vt:lpstr>Chart - Trajectory</vt:lpstr>
      <vt:lpstr>ch_d_m_start</vt:lpstr>
      <vt:lpstr>Test!op_valu_info</vt:lpstr>
      <vt:lpstr>op_valu_info</vt:lpstr>
      <vt:lpstr>pr_traj_info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2018-03-08T12:55:30Z</dcterms:created>
  <dcterms:modified xsi:type="dcterms:W3CDTF">2018-06-29T08:18:00Z</dcterms:modified>
</cp:coreProperties>
</file>